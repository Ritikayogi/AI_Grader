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hHL1 25-26" sheetId="1" r:id="rId4"/>
  </sheets>
  <definedNames/>
  <calcPr/>
</workbook>
</file>

<file path=xl/sharedStrings.xml><?xml version="1.0" encoding="utf-8"?>
<sst xmlns="http://schemas.openxmlformats.org/spreadsheetml/2006/main" count="300" uniqueCount="183">
  <si>
    <t>LeadIB Academy</t>
  </si>
  <si>
    <t>Date</t>
  </si>
  <si>
    <t>Day</t>
  </si>
  <si>
    <t>Start time</t>
  </si>
  <si>
    <t>End time</t>
  </si>
  <si>
    <t>hours</t>
  </si>
  <si>
    <t>Topic</t>
  </si>
  <si>
    <t>Prof.</t>
  </si>
  <si>
    <t>HW?</t>
  </si>
  <si>
    <t>Test</t>
  </si>
  <si>
    <t>Total
marks</t>
  </si>
  <si>
    <t>Marks
attempted</t>
  </si>
  <si>
    <t>Marks
Percentage</t>
  </si>
  <si>
    <t>QP</t>
  </si>
  <si>
    <t>MS</t>
  </si>
  <si>
    <t>Graded</t>
  </si>
  <si>
    <t>Remark</t>
  </si>
  <si>
    <t>Total
Marks</t>
  </si>
  <si>
    <t>Monday</t>
  </si>
  <si>
    <t>11.30 AM</t>
  </si>
  <si>
    <t>12.30 PM</t>
  </si>
  <si>
    <t>61/63</t>
  </si>
  <si>
    <t>Maanya_070425_QP.pdf</t>
  </si>
  <si>
    <t>Maanya_070425_MS.pdf</t>
  </si>
  <si>
    <t>Maanya_Maths_070425_CP.pdf</t>
  </si>
  <si>
    <t>11.30AM</t>
  </si>
  <si>
    <t>Binomial Distribution</t>
  </si>
  <si>
    <t>63/63</t>
  </si>
  <si>
    <t>Maanya_140425_QP.pdf</t>
  </si>
  <si>
    <t>Maanya_140425_MS.pdf</t>
  </si>
  <si>
    <t>Maanya_Maths_140425_CP.pdf</t>
  </si>
  <si>
    <t>Normal Distribution</t>
  </si>
  <si>
    <t>85/88</t>
  </si>
  <si>
    <t>Maanya_210425_QP.pdf</t>
  </si>
  <si>
    <t>Maanya_210425_MS.pdf</t>
  </si>
  <si>
    <t>Maanya_Maths_210425_CP.pdf</t>
  </si>
  <si>
    <t>No Test</t>
  </si>
  <si>
    <t>10.30 AM</t>
  </si>
  <si>
    <t>Probability</t>
  </si>
  <si>
    <t>test</t>
  </si>
  <si>
    <t>61/68</t>
  </si>
  <si>
    <t>Maanya_050525_QP.pdf</t>
  </si>
  <si>
    <t>Maanya_050525_MS.pdf</t>
  </si>
  <si>
    <t>Maanya_050525_CP.pdf</t>
  </si>
  <si>
    <t>Thursday</t>
  </si>
  <si>
    <t>6.30 PM</t>
  </si>
  <si>
    <t>7.30 PM</t>
  </si>
  <si>
    <t>differentiation</t>
  </si>
  <si>
    <t>16/16</t>
  </si>
  <si>
    <t>Maanya_140525_QP.pdf</t>
  </si>
  <si>
    <t>Maanya_140525_MS.pdf</t>
  </si>
  <si>
    <t>Maanya_Maths_150525_CP.pdf</t>
  </si>
  <si>
    <t>Statistics and Probability</t>
  </si>
  <si>
    <t>sd</t>
  </si>
  <si>
    <t>59/65</t>
  </si>
  <si>
    <t>Maanya_260525_QP.pdf</t>
  </si>
  <si>
    <t>Maanya_260525_MS.pdf</t>
  </si>
  <si>
    <t>Maanya_260525_CP.pdf</t>
  </si>
  <si>
    <t>Differential Calculus</t>
  </si>
  <si>
    <t>31/31</t>
  </si>
  <si>
    <t>Maanya_020625_QP.pdf</t>
  </si>
  <si>
    <t>Maanya_020625_MS.pdf</t>
  </si>
  <si>
    <t>Maanya_020625_CP.pdf</t>
  </si>
  <si>
    <t xml:space="preserve">No test </t>
  </si>
  <si>
    <t xml:space="preserve"> Related Rates and Optimization</t>
  </si>
  <si>
    <t>28/28</t>
  </si>
  <si>
    <t>Maanya_160625_QP.pdf</t>
  </si>
  <si>
    <t>Maanya_160625_MS.pdf</t>
  </si>
  <si>
    <t>Maanya_160625_CP.pdf</t>
  </si>
  <si>
    <t>No test</t>
  </si>
  <si>
    <t>Friday</t>
  </si>
  <si>
    <t xml:space="preserve">integration </t>
  </si>
  <si>
    <t xml:space="preserve"> </t>
  </si>
  <si>
    <t xml:space="preserve"> 43/45</t>
  </si>
  <si>
    <t>Maanya_040725_QP.pdf</t>
  </si>
  <si>
    <t>Maanya_040725_MS.pdf</t>
  </si>
  <si>
    <t>Maanya_040725_CP.pdf</t>
  </si>
  <si>
    <t xml:space="preserve"> Integration</t>
  </si>
  <si>
    <t>Maanya_110725_QP.pdf</t>
  </si>
  <si>
    <t>64/66</t>
  </si>
  <si>
    <t>Maanya_110725_MS.pdf</t>
  </si>
  <si>
    <t>Maanya_140725_CP.pdf</t>
  </si>
  <si>
    <t>8.30 PM</t>
  </si>
  <si>
    <t>Functions all topics</t>
  </si>
  <si>
    <t>17/17</t>
  </si>
  <si>
    <t>Maanya_061024_QP.pdf</t>
  </si>
  <si>
    <t>Maanya_061024_MS.pdf</t>
  </si>
  <si>
    <t>Maanya_061024_CP.pdf</t>
  </si>
  <si>
    <t>1.30 PM</t>
  </si>
  <si>
    <t>Sequence and series</t>
  </si>
  <si>
    <t>27/30</t>
  </si>
  <si>
    <t>Maanya_131024_QP.pdf</t>
  </si>
  <si>
    <t>Maanya_131024_MS.pdf</t>
  </si>
  <si>
    <t>Maanya_131024_CP.pdf</t>
  </si>
  <si>
    <t>All topics done so far</t>
  </si>
  <si>
    <t>36/38</t>
  </si>
  <si>
    <t>Maanya_201024_QP.pdf</t>
  </si>
  <si>
    <t>Maanya_201024_MS.pdf</t>
  </si>
  <si>
    <t>Maanya_211024_CP.pdf</t>
  </si>
  <si>
    <t>functions topics from 2.12 to 2.16</t>
  </si>
  <si>
    <t>24/27</t>
  </si>
  <si>
    <t>Maanya_271024_QP.pdf</t>
  </si>
  <si>
    <t>Maanya_271024_MS.pdf</t>
  </si>
  <si>
    <t>Maanya_271024_CP.pdf</t>
  </si>
  <si>
    <t>Topic 1 all SL topics</t>
  </si>
  <si>
    <t>35/40</t>
  </si>
  <si>
    <t>Maanya_041124_QP.pdf</t>
  </si>
  <si>
    <t>Maanya_041124_MS.pdf</t>
  </si>
  <si>
    <t>Maanya_041124_CP.pdf</t>
  </si>
  <si>
    <t>surprise test</t>
  </si>
  <si>
    <t>Tuesday</t>
  </si>
  <si>
    <t>9.30 PM</t>
  </si>
  <si>
    <t>logs and exponents</t>
  </si>
  <si>
    <t>36/43</t>
  </si>
  <si>
    <t>Maanya_121124_QP.pdf</t>
  </si>
  <si>
    <t>Maanya_121124_MS.pdf</t>
  </si>
  <si>
    <t>Maanya_121124_CP.pdf</t>
  </si>
  <si>
    <t>2.30 PM</t>
  </si>
  <si>
    <t>proofs</t>
  </si>
  <si>
    <t>37/37</t>
  </si>
  <si>
    <t>Maanya_181124_QP.pdf</t>
  </si>
  <si>
    <t>Maanya_181124_MS.pdf</t>
  </si>
  <si>
    <t>Maanya_181124_CP.pdf</t>
  </si>
  <si>
    <t>55/67</t>
  </si>
  <si>
    <t>Maanya_261124_QP.pdf</t>
  </si>
  <si>
    <t>Maanya_261124_MS.pdf</t>
  </si>
  <si>
    <t>Maanya_261124_CP.pdf</t>
  </si>
  <si>
    <t>3.30 PM</t>
  </si>
  <si>
    <t>binomial theorem + combinations</t>
  </si>
  <si>
    <t>44/44</t>
  </si>
  <si>
    <t>Maanya_031224_QP.pdf</t>
  </si>
  <si>
    <t>Maanya_031224_MS.pdf</t>
  </si>
  <si>
    <t>Maanya_031224_CP.pdf</t>
  </si>
  <si>
    <t>Trigonometry</t>
  </si>
  <si>
    <t>Maanya_091224_QP.pdf</t>
  </si>
  <si>
    <t>Maanya_091224_MS.pdf</t>
  </si>
  <si>
    <t>Graded by YP</t>
  </si>
  <si>
    <t>48/50</t>
  </si>
  <si>
    <t>Maanya_161224_QP.pdf</t>
  </si>
  <si>
    <t>Maanya_161224_MS.pdf</t>
  </si>
  <si>
    <t>Maanya_161224_CP.pdf</t>
  </si>
  <si>
    <t>May2021_MathsAA_P1_TZ1_HL</t>
  </si>
  <si>
    <t>18/19</t>
  </si>
  <si>
    <t>May2021_Maths_AA_paper1_TZ1_HL.pdf</t>
  </si>
  <si>
    <t>May2021_Maths_AA_paper_1_TZ1_HL_MS.pdf</t>
  </si>
  <si>
    <t>Maanya_231224_CP.pdf</t>
  </si>
  <si>
    <t>May2021_MathsAA_P2_TZ1_HL</t>
  </si>
  <si>
    <t>May2021_Maths_AA_p2_TZ1_HL.pdf</t>
  </si>
  <si>
    <t>May2021_Maths_AA_p2_TZ1_HL_MS.pdf</t>
  </si>
  <si>
    <t>Trignometry</t>
  </si>
  <si>
    <t>55/56</t>
  </si>
  <si>
    <t>Maanya_050125_QP.pdf</t>
  </si>
  <si>
    <t>Maanya_050125_MS.pdf</t>
  </si>
  <si>
    <t>Maanya_090125_CP.pdf</t>
  </si>
  <si>
    <t>Trig</t>
  </si>
  <si>
    <t>25/29</t>
  </si>
  <si>
    <t>Maanya_130125_QP.pdf</t>
  </si>
  <si>
    <t>Maanya_130125_MS.pdf</t>
  </si>
  <si>
    <t>Maanya_130125_CP.pdf</t>
  </si>
  <si>
    <t>All SL Trig topic</t>
  </si>
  <si>
    <t>56/59</t>
  </si>
  <si>
    <t>Maanya_200125_QP.pdf</t>
  </si>
  <si>
    <t>Maanya_200125_MS.pdf</t>
  </si>
  <si>
    <t>Maanya_200125_CP.pdf</t>
  </si>
  <si>
    <t>trig SL all topics</t>
  </si>
  <si>
    <t>31/40</t>
  </si>
  <si>
    <t>Maanya_270125_QP.pdf</t>
  </si>
  <si>
    <t>Maanya_270125_MS.pdf</t>
  </si>
  <si>
    <t>Maanya_270125_CP.pdf</t>
  </si>
  <si>
    <t>All SL Topic</t>
  </si>
  <si>
    <t>35/39</t>
  </si>
  <si>
    <t>Maanya_test_030225_QP.pdf</t>
  </si>
  <si>
    <t>Maanya_test_030225_MS.pdfg</t>
  </si>
  <si>
    <t>Maanya_030225_CP.pdf</t>
  </si>
  <si>
    <t>topic 1</t>
  </si>
  <si>
    <t>38/39</t>
  </si>
  <si>
    <t>Maanya_100225_QP.pdf</t>
  </si>
  <si>
    <t>Maanya_100225_MS.pdf</t>
  </si>
  <si>
    <t>Maanya_100225_CP.pdf</t>
  </si>
  <si>
    <t>vector basics, dot and cross product</t>
  </si>
  <si>
    <t>cancelled</t>
  </si>
  <si>
    <t>Maanya_170225_QP.pdf</t>
  </si>
  <si>
    <t>Maanya_170225_MS.pdf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</si>
</sst>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d"/>
    <numFmt numFmtId="165" formatCode="d mmm"/>
    <numFmt numFmtId="166" formatCode="d mmmm"/>
    <numFmt numFmtId="167" formatCode="h:mm am/pm"/>
    <numFmt numFmtId="168" formatCode="d&quot; &quot;mmm"/>
  </numFmts>
  <fonts count="20">
    <font>
      <sz val="10.0"/>
      <color rgb="FF000000"/>
      <name val="Arial"/>
      <scheme val="minor"/>
    </font>
    <font>
      <b/>
      <sz val="14.0"/>
      <color rgb="FFFF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color rgb="FFFF0000"/>
      <name val="Arial"/>
      <scheme val="minor"/>
    </font>
    <font>
      <color rgb="FFFF0000"/>
      <name val="Arial"/>
      <scheme val="minor"/>
    </font>
    <font>
      <color rgb="FFFF0000"/>
      <name val="Arial"/>
    </font>
    <font>
      <u/>
      <color rgb="FFFF0000"/>
      <name val="Arial"/>
      <scheme val="minor"/>
    </font>
    <font>
      <u/>
      <color rgb="FFFF0000"/>
      <name val="Arial"/>
      <scheme val="minor"/>
    </font>
    <font>
      <u/>
      <color rgb="FFFF0000"/>
    </font>
    <font>
      <u/>
      <color rgb="FFFF0000"/>
      <name val="Arial"/>
      <scheme val="minor"/>
    </font>
    <font>
      <color rgb="FF000000"/>
      <name val="Arial"/>
      <scheme val="minor"/>
    </font>
    <font>
      <color rgb="FF000000"/>
      <name val="Arial"/>
    </font>
    <font>
      <color theme="1"/>
      <name val="Arial"/>
    </font>
    <font>
      <u/>
      <color rgb="FFFF0000"/>
      <name val="Arial"/>
    </font>
    <font>
      <u/>
      <color rgb="FFFF0000"/>
      <name val="Arial"/>
    </font>
    <font>
      <u/>
      <color rgb="FFFF0000"/>
      <name val="Arial"/>
    </font>
    <font>
      <u/>
      <color rgb="FFFF0000"/>
      <name val="Arial"/>
    </font>
    <font>
      <u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10" xfId="0" applyAlignment="1" applyFont="1" applyNumberFormat="1">
      <alignment horizontal="center" readingOrder="0"/>
    </xf>
    <xf borderId="0" fillId="2" fontId="2" numFmtId="0" xfId="0" applyFill="1" applyFont="1"/>
    <xf borderId="0" fillId="2" fontId="3" numFmtId="0" xfId="0" applyAlignment="1" applyFont="1">
      <alignment horizontal="center" readingOrder="0" vertical="center"/>
    </xf>
    <xf borderId="0" fillId="2" fontId="4" numFmtId="0" xfId="0" applyAlignment="1" applyFont="1">
      <alignment horizontal="right" vertical="bottom"/>
    </xf>
    <xf borderId="0" fillId="2" fontId="2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3" fontId="6" numFmtId="165" xfId="0" applyAlignment="1" applyFill="1" applyFont="1" applyNumberFormat="1">
      <alignment readingOrder="0"/>
    </xf>
    <xf borderId="0" fillId="3" fontId="7" numFmtId="0" xfId="0" applyAlignment="1" applyFont="1">
      <alignment vertical="bottom"/>
    </xf>
    <xf borderId="0" fillId="3" fontId="6" numFmtId="0" xfId="0" applyAlignment="1" applyFont="1">
      <alignment horizontal="center" readingOrder="0"/>
    </xf>
    <xf borderId="0" fillId="3" fontId="6" numFmtId="0" xfId="0" applyAlignment="1" applyFont="1">
      <alignment readingOrder="0"/>
    </xf>
    <xf borderId="0" fillId="3" fontId="6" numFmtId="0" xfId="0" applyFont="1"/>
    <xf borderId="0" fillId="3" fontId="8" numFmtId="0" xfId="0" applyAlignment="1" applyFont="1">
      <alignment readingOrder="0"/>
    </xf>
    <xf borderId="0" fillId="2" fontId="6" numFmtId="0" xfId="0" applyFont="1"/>
    <xf borderId="0" fillId="0" fontId="6" numFmtId="0" xfId="0" applyFont="1"/>
    <xf borderId="0" fillId="4" fontId="6" numFmtId="165" xfId="0" applyAlignment="1" applyFill="1" applyFont="1" applyNumberFormat="1">
      <alignment readingOrder="0"/>
    </xf>
    <xf borderId="0" fillId="4" fontId="7" numFmtId="0" xfId="0" applyAlignment="1" applyFont="1">
      <alignment vertical="bottom"/>
    </xf>
    <xf borderId="0" fillId="4" fontId="6" numFmtId="0" xfId="0" applyAlignment="1" applyFont="1">
      <alignment horizontal="center" readingOrder="0"/>
    </xf>
    <xf borderId="0" fillId="4" fontId="6" numFmtId="0" xfId="0" applyAlignment="1" applyFont="1">
      <alignment readingOrder="0"/>
    </xf>
    <xf borderId="0" fillId="4" fontId="6" numFmtId="0" xfId="0" applyFont="1"/>
    <xf borderId="0" fillId="4" fontId="9" numFmtId="0" xfId="0" applyAlignment="1" applyFont="1">
      <alignment readingOrder="0"/>
    </xf>
    <xf borderId="0" fillId="4" fontId="10" numFmtId="0" xfId="0" applyFont="1"/>
    <xf borderId="0" fillId="3" fontId="11" numFmtId="0" xfId="0" applyAlignment="1" applyFont="1">
      <alignment readingOrder="0"/>
    </xf>
    <xf borderId="0" fillId="3" fontId="6" numFmtId="166" xfId="0" applyAlignment="1" applyFont="1" applyNumberFormat="1">
      <alignment readingOrder="0"/>
    </xf>
    <xf borderId="0" fillId="4" fontId="6" numFmtId="166" xfId="0" applyAlignment="1" applyFont="1" applyNumberFormat="1">
      <alignment readingOrder="0"/>
    </xf>
    <xf borderId="0" fillId="3" fontId="12" numFmtId="166" xfId="0" applyAlignment="1" applyFont="1" applyNumberFormat="1">
      <alignment readingOrder="0"/>
    </xf>
    <xf borderId="0" fillId="3" fontId="13" numFmtId="0" xfId="0" applyAlignment="1" applyFont="1">
      <alignment vertical="bottom"/>
    </xf>
    <xf borderId="0" fillId="3" fontId="12" numFmtId="167" xfId="0" applyAlignment="1" applyFont="1" applyNumberFormat="1">
      <alignment horizontal="center" readingOrder="0"/>
    </xf>
    <xf borderId="0" fillId="3" fontId="12" numFmtId="167" xfId="0" applyAlignment="1" applyFont="1" applyNumberFormat="1">
      <alignment readingOrder="0"/>
    </xf>
    <xf borderId="0" fillId="3" fontId="12" numFmtId="0" xfId="0" applyAlignment="1" applyFont="1">
      <alignment readingOrder="0"/>
    </xf>
    <xf borderId="0" fillId="3" fontId="12" numFmtId="0" xfId="0" applyFont="1"/>
    <xf borderId="0" fillId="2" fontId="12" numFmtId="0" xfId="0" applyFont="1"/>
    <xf borderId="0" fillId="0" fontId="12" numFmtId="0" xfId="0" applyFont="1"/>
    <xf borderId="0" fillId="4" fontId="6" numFmtId="167" xfId="0" applyAlignment="1" applyFont="1" applyNumberFormat="1">
      <alignment horizontal="center" readingOrder="0"/>
    </xf>
    <xf borderId="0" fillId="4" fontId="6" numFmtId="167" xfId="0" applyAlignment="1" applyFont="1" applyNumberFormat="1">
      <alignment readingOrder="0"/>
    </xf>
    <xf borderId="0" fillId="3" fontId="7" numFmtId="0" xfId="0" applyAlignment="1" applyFont="1">
      <alignment readingOrder="0" vertical="bottom"/>
    </xf>
    <xf borderId="0" fillId="3" fontId="6" numFmtId="167" xfId="0" applyAlignment="1" applyFont="1" applyNumberFormat="1">
      <alignment horizontal="center" readingOrder="0"/>
    </xf>
    <xf borderId="0" fillId="3" fontId="6" numFmtId="167" xfId="0" applyAlignment="1" applyFont="1" applyNumberFormat="1">
      <alignment readingOrder="0"/>
    </xf>
    <xf borderId="0" fillId="4" fontId="7" numFmtId="0" xfId="0" applyAlignment="1" applyFont="1">
      <alignment readingOrder="0" vertical="bottom"/>
    </xf>
    <xf borderId="0" fillId="2" fontId="6" numFmtId="0" xfId="0" applyAlignment="1" applyFont="1">
      <alignment readingOrder="0"/>
    </xf>
    <xf borderId="0" fillId="0" fontId="14" numFmtId="0" xfId="0" applyAlignment="1" applyFont="1">
      <alignment horizontal="center" readingOrder="0" vertical="bottom"/>
    </xf>
    <xf borderId="0" fillId="3" fontId="7" numFmtId="168" xfId="0" applyAlignment="1" applyFont="1" applyNumberFormat="1">
      <alignment horizontal="right" vertical="bottom"/>
    </xf>
    <xf borderId="0" fillId="3" fontId="7" numFmtId="0" xfId="0" applyAlignment="1" applyFont="1">
      <alignment horizontal="right" vertical="bottom"/>
    </xf>
    <xf borderId="0" fillId="3" fontId="14" numFmtId="0" xfId="0" applyAlignment="1" applyFont="1">
      <alignment vertical="bottom"/>
    </xf>
    <xf borderId="0" fillId="3" fontId="7" numFmtId="0" xfId="0" applyAlignment="1" applyFont="1">
      <alignment shrinkToFit="0" vertical="bottom" wrapText="1"/>
    </xf>
    <xf borderId="0" fillId="3" fontId="1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4" fontId="7" numFmtId="168" xfId="0" applyAlignment="1" applyFont="1" applyNumberFormat="1">
      <alignment horizontal="right" vertical="bottom"/>
    </xf>
    <xf borderId="0" fillId="4" fontId="7" numFmtId="0" xfId="0" applyAlignment="1" applyFont="1">
      <alignment horizontal="right" vertical="bottom"/>
    </xf>
    <xf borderId="0" fillId="4" fontId="14" numFmtId="0" xfId="0" applyAlignment="1" applyFont="1">
      <alignment vertical="bottom"/>
    </xf>
    <xf borderId="0" fillId="4" fontId="7" numFmtId="0" xfId="0" applyAlignment="1" applyFont="1">
      <alignment shrinkToFit="0" vertical="bottom" wrapText="1"/>
    </xf>
    <xf borderId="0" fillId="4" fontId="16" numFmtId="0" xfId="0" applyAlignment="1" applyFont="1">
      <alignment readingOrder="0" vertical="bottom"/>
    </xf>
    <xf borderId="0" fillId="4" fontId="17" numFmtId="0" xfId="0" applyAlignment="1" applyFont="1">
      <alignment vertical="bottom"/>
    </xf>
    <xf borderId="0" fillId="5" fontId="7" numFmtId="168" xfId="0" applyAlignment="1" applyFill="1" applyFont="1" applyNumberFormat="1">
      <alignment horizontal="right" vertical="bottom"/>
    </xf>
    <xf borderId="0" fillId="5" fontId="7" numFmtId="0" xfId="0" applyAlignment="1" applyFont="1">
      <alignment vertical="bottom"/>
    </xf>
    <xf borderId="0" fillId="5" fontId="7" numFmtId="0" xfId="0" applyAlignment="1" applyFont="1">
      <alignment horizontal="right" vertical="bottom"/>
    </xf>
    <xf borderId="0" fillId="5" fontId="14" numFmtId="0" xfId="0" applyAlignment="1" applyFont="1">
      <alignment vertical="bottom"/>
    </xf>
    <xf borderId="0" fillId="5" fontId="7" numFmtId="0" xfId="0" applyAlignment="1" applyFont="1">
      <alignment shrinkToFit="0" vertical="bottom" wrapText="1"/>
    </xf>
    <xf borderId="0" fillId="5" fontId="7" numFmtId="1" xfId="0" applyAlignment="1" applyFont="1" applyNumberFormat="1">
      <alignment horizontal="right" vertical="bottom"/>
    </xf>
    <xf borderId="0" fillId="5" fontId="18" numFmtId="0" xfId="0" applyAlignment="1" applyFont="1">
      <alignment vertical="bottom"/>
    </xf>
    <xf borderId="0" fillId="5" fontId="19" numFmtId="0" xfId="0" applyAlignment="1" applyFont="1">
      <alignment readingOrder="0" vertical="bottom"/>
    </xf>
    <xf borderId="0" fillId="4" fontId="7" numFmtId="1" xfId="0" applyAlignment="1" applyFont="1" applyNumberFormat="1">
      <alignment horizontal="right" vertical="bottom"/>
    </xf>
    <xf borderId="0" fillId="3" fontId="7" numFmtId="1" xfId="0" applyAlignment="1" applyFont="1" applyNumberFormat="1">
      <alignment horizontal="right" vertical="bottom"/>
    </xf>
    <xf borderId="0" fillId="4" fontId="7" numFmtId="167" xfId="0" applyAlignment="1" applyFont="1" applyNumberFormat="1">
      <alignment horizontal="right" vertical="bottom"/>
    </xf>
    <xf borderId="0" fillId="4" fontId="14" numFmtId="168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WyXyVYpwYS4lpJgfF-aptHCo9tzJ5Xx4/view?usp=sharing" TargetMode="External"/><Relationship Id="rId84" Type="http://schemas.openxmlformats.org/officeDocument/2006/relationships/hyperlink" Target="https://drive.google.com/file/d/1T9C-1-Zcv51D5qwAGdd1t6bBBmbqrv6A/view?usp=sharing" TargetMode="External"/><Relationship Id="rId83" Type="http://schemas.openxmlformats.org/officeDocument/2006/relationships/hyperlink" Target="https://drive.google.com/file/d/1RqKfpJQbKxOqRbvXsszReQf8QkYvH0ey/view?usp=sharing" TargetMode="External"/><Relationship Id="rId42" Type="http://schemas.openxmlformats.org/officeDocument/2006/relationships/hyperlink" Target="https://drive.google.com/file/d/1wN_FuJrkIQ5d3snCLqGZmTS2kDatyPjs/view?usp=sharing" TargetMode="External"/><Relationship Id="rId86" Type="http://schemas.openxmlformats.org/officeDocument/2006/relationships/hyperlink" Target="https://drive.google.com/file/d/1Sw48J_mMAMtdkJFvK62_EFor85rJJ4zr/view?usp=sharing" TargetMode="External"/><Relationship Id="rId41" Type="http://schemas.openxmlformats.org/officeDocument/2006/relationships/hyperlink" Target="https://drive.google.com/file/d/1yR8gnAyyv03N99KbdAC-4rCIo8gPnAm1/view?usp=sharing" TargetMode="External"/><Relationship Id="rId85" Type="http://schemas.openxmlformats.org/officeDocument/2006/relationships/hyperlink" Target="https://drive.google.com/file/d/1NcC5QLGAS6ZWBOgPV0iOMyHplOEIVraU/view?usp=sharing" TargetMode="External"/><Relationship Id="rId44" Type="http://schemas.openxmlformats.org/officeDocument/2006/relationships/hyperlink" Target="https://drive.google.com/file/d/1bzjr004rUFYqdPpF3VbV2HUw6konfKjC/view?usp=sharing" TargetMode="External"/><Relationship Id="rId88" Type="http://schemas.openxmlformats.org/officeDocument/2006/relationships/hyperlink" Target="https://drive.google.com/file/d/10Yt4KORtrGzYhWBbfOqVzdoQIhoyjR-a/view?usp=sharing" TargetMode="External"/><Relationship Id="rId43" Type="http://schemas.openxmlformats.org/officeDocument/2006/relationships/hyperlink" Target="https://drive.google.com/file/d/1wcd8QpVo8CNTRbvtMATk0Doqg730zKU8/view?usp=sharing" TargetMode="External"/><Relationship Id="rId87" Type="http://schemas.openxmlformats.org/officeDocument/2006/relationships/hyperlink" Target="https://drive.google.com/file/d/1eRyGjNbclHEziOBV91DB-07WS-kVBGoG/view?usp=sharing" TargetMode="External"/><Relationship Id="rId46" Type="http://schemas.openxmlformats.org/officeDocument/2006/relationships/hyperlink" Target="https://drive.google.com/file/d/1YAJAT49MLej01r1L8Nh-w6LkKmD-STHy/view?usp=sharing" TargetMode="External"/><Relationship Id="rId45" Type="http://schemas.openxmlformats.org/officeDocument/2006/relationships/hyperlink" Target="https://drive.google.com/file/d/15W3JIOr4DiPeIl50GsADZs8znwTSDewK/view?usp=sharing" TargetMode="External"/><Relationship Id="rId89" Type="http://schemas.openxmlformats.org/officeDocument/2006/relationships/drawing" Target="../drawings/drawing1.xml"/><Relationship Id="rId80" Type="http://schemas.openxmlformats.org/officeDocument/2006/relationships/hyperlink" Target="https://drive.google.com/file/d/1pxUSifT9rL49F6q3YHai4d1zeAq-NGIf/view?usp=sharing" TargetMode="External"/><Relationship Id="rId82" Type="http://schemas.openxmlformats.org/officeDocument/2006/relationships/hyperlink" Target="https://drive.google.com/file/d/1AVE-Q2Rh3NArYDN28j6klv0CqGuoZQ9Q/view?usp=sharing" TargetMode="External"/><Relationship Id="rId81" Type="http://schemas.openxmlformats.org/officeDocument/2006/relationships/hyperlink" Target="https://drive.google.com/file/d/1pL4hHp0iM2XKaIVq71jto1_MBy2IFCkp/view?usp=sharing" TargetMode="External"/><Relationship Id="rId1" Type="http://schemas.openxmlformats.org/officeDocument/2006/relationships/hyperlink" Target="https://drive.google.com/file/d/1yhpyECQQS3nSBDhTpNvqocuUalwGGgap/view?usp=sharing" TargetMode="External"/><Relationship Id="rId2" Type="http://schemas.openxmlformats.org/officeDocument/2006/relationships/hyperlink" Target="https://drive.google.com/file/d/1dftkc4NWhhdWKnm2Y-W-ga1WzD5kYPcu/view?usp=sharing" TargetMode="External"/><Relationship Id="rId3" Type="http://schemas.openxmlformats.org/officeDocument/2006/relationships/hyperlink" Target="https://drive.google.com/file/d/1Th_3zGIll3Ot_h1iexMMKehVcgP4LE_Z/view?usp=sharing" TargetMode="External"/><Relationship Id="rId4" Type="http://schemas.openxmlformats.org/officeDocument/2006/relationships/hyperlink" Target="https://drive.google.com/file/d/1gJZLS2xIX48XHqeCPT8qhB6YQ3h1OdPR/view?usp=sharing" TargetMode="External"/><Relationship Id="rId9" Type="http://schemas.openxmlformats.org/officeDocument/2006/relationships/hyperlink" Target="https://drive.google.com/file/d/1GQrpLbCGpAS1L61txYYzXRNdTDqWvfWf/view?usp=sharing" TargetMode="External"/><Relationship Id="rId48" Type="http://schemas.openxmlformats.org/officeDocument/2006/relationships/hyperlink" Target="https://drive.google.com/file/d/1ZmUIX8UfI9L6Cw-vg8Drx7el92lBmWGA/view?usp=sharing" TargetMode="External"/><Relationship Id="rId47" Type="http://schemas.openxmlformats.org/officeDocument/2006/relationships/hyperlink" Target="https://drive.google.com/file/d/1sUNzHvX44J3EwRVgz4d79aQr7m5yv3Fo/view?usp=sharing" TargetMode="External"/><Relationship Id="rId49" Type="http://schemas.openxmlformats.org/officeDocument/2006/relationships/hyperlink" Target="https://drive.google.com/file/d/10uWt8E8V2QUIy2nicEqqFkStgPmwaPR3/view?usp=sharing" TargetMode="External"/><Relationship Id="rId5" Type="http://schemas.openxmlformats.org/officeDocument/2006/relationships/hyperlink" Target="https://drive.google.com/file/d/1EFzJ3iherAwct0JNwdJ7QUdF4ILDwORU/view?usp=sharing" TargetMode="External"/><Relationship Id="rId6" Type="http://schemas.openxmlformats.org/officeDocument/2006/relationships/hyperlink" Target="https://drive.google.com/file/d/1Fgg5Iu8pcCb92qCuhkefVML0wQlmDK35/view?usp=sharing" TargetMode="External"/><Relationship Id="rId7" Type="http://schemas.openxmlformats.org/officeDocument/2006/relationships/hyperlink" Target="https://drive.google.com/file/d/1go57xr-a-vkj1mLug9WmtPR0-_zXezFo/view?usp=sharing" TargetMode="External"/><Relationship Id="rId8" Type="http://schemas.openxmlformats.org/officeDocument/2006/relationships/hyperlink" Target="https://drive.google.com/file/d/1oZ4Bi7OP_gV9aD8Ga-IlsCqt4T6r8G45/view?usp=sharing" TargetMode="External"/><Relationship Id="rId73" Type="http://schemas.openxmlformats.org/officeDocument/2006/relationships/hyperlink" Target="https://drive.google.com/file/d/1wl2JTONgrxBCiw1rahlDXj2jOlHIVN-I/view?usp=sharing" TargetMode="External"/><Relationship Id="rId72" Type="http://schemas.openxmlformats.org/officeDocument/2006/relationships/hyperlink" Target="https://drive.google.com/file/d/1OyjEbYd1Xi0m55xI0ozzCrHxVNH0c9GN/view?usp=sharing" TargetMode="External"/><Relationship Id="rId31" Type="http://schemas.openxmlformats.org/officeDocument/2006/relationships/hyperlink" Target="https://drive.google.com/file/d/1Tt347navYt9jMTT469dlOVQkTc7qCWTq/view?usp=sharing" TargetMode="External"/><Relationship Id="rId75" Type="http://schemas.openxmlformats.org/officeDocument/2006/relationships/hyperlink" Target="https://drive.google.com/file/d/1pBks1Jeh7UYT7S-d7j74UNAxrRtlPe2_/view?usp=sharing" TargetMode="External"/><Relationship Id="rId30" Type="http://schemas.openxmlformats.org/officeDocument/2006/relationships/hyperlink" Target="https://drive.google.com/file/d/11WRifTINzDpUF9iFDv-ZuVGpmB496uF2/view?usp=sharing" TargetMode="External"/><Relationship Id="rId74" Type="http://schemas.openxmlformats.org/officeDocument/2006/relationships/hyperlink" Target="https://drive.google.com/file/d/1kPyAwHd1XCMp8aYIZpfWMZOt6maDtpei/view?usp=sharing" TargetMode="External"/><Relationship Id="rId33" Type="http://schemas.openxmlformats.org/officeDocument/2006/relationships/hyperlink" Target="https://drive.google.com/file/d/1y8wwldmZDqiJn4ZBmuRnecm9Z6vbrkGU/view?usp=sharing" TargetMode="External"/><Relationship Id="rId77" Type="http://schemas.openxmlformats.org/officeDocument/2006/relationships/hyperlink" Target="https://drive.google.com/file/d/1RA3HGLuV9mSq5STLug6C6THqwugJlZ8d/view?usp=sharing" TargetMode="External"/><Relationship Id="rId32" Type="http://schemas.openxmlformats.org/officeDocument/2006/relationships/hyperlink" Target="https://drive.google.com/file/d/1xO5485RpEqP5L-UEOGlGwh2Ud01QGTKf/view?usp=sharing" TargetMode="External"/><Relationship Id="rId76" Type="http://schemas.openxmlformats.org/officeDocument/2006/relationships/hyperlink" Target="https://drive.google.com/file/d/1lSrJY4CwVaAb7LHAuW3LqyZFihVZUuM4/view?usp=sharing" TargetMode="External"/><Relationship Id="rId35" Type="http://schemas.openxmlformats.org/officeDocument/2006/relationships/hyperlink" Target="https://drive.google.com/file/d/1jZDYB5YWF-RYiWdF1gZ4TxumMBCVxUV5/view?usp=sharing" TargetMode="External"/><Relationship Id="rId79" Type="http://schemas.openxmlformats.org/officeDocument/2006/relationships/hyperlink" Target="https://drive.google.com/file/d/1zsIYgcjlIESMVm1V-R5-tX0bcDrr6IBn/view?usp=sharing" TargetMode="External"/><Relationship Id="rId34" Type="http://schemas.openxmlformats.org/officeDocument/2006/relationships/hyperlink" Target="https://drive.google.com/file/d/1xr8h8g5EqxqAS6orVbFk1Mue7nszm7Yl/view?usp=sharing" TargetMode="External"/><Relationship Id="rId78" Type="http://schemas.openxmlformats.org/officeDocument/2006/relationships/hyperlink" Target="https://drive.google.com/file/d/1-Z2VnRpKuV_5vULRlnuQWlXzG3L7SALY/view?usp=sharing" TargetMode="External"/><Relationship Id="rId71" Type="http://schemas.openxmlformats.org/officeDocument/2006/relationships/hyperlink" Target="https://drive.google.com/file/d/1B82EWTVHE4TeGjrLlPM93U7STSY0T_zV/view?usp=sharing" TargetMode="External"/><Relationship Id="rId70" Type="http://schemas.openxmlformats.org/officeDocument/2006/relationships/hyperlink" Target="https://drive.google.com/file/d/1UVqRx9ToRIF9aYveL_xJhSlPf5W8-qkC/view?usp=sharing" TargetMode="External"/><Relationship Id="rId37" Type="http://schemas.openxmlformats.org/officeDocument/2006/relationships/hyperlink" Target="https://drive.google.com/file/d/1BeV2eNS7-dbZn8HLK9YIkyu4GPGZqUKz/view?usp=sharing" TargetMode="External"/><Relationship Id="rId36" Type="http://schemas.openxmlformats.org/officeDocument/2006/relationships/hyperlink" Target="https://drive.google.com/file/d/1NzlDrjN7w8GEODsVkBuxpR1-QSxYLipM/view?usp=sharing" TargetMode="External"/><Relationship Id="rId39" Type="http://schemas.openxmlformats.org/officeDocument/2006/relationships/hyperlink" Target="https://drive.google.com/file/d/1VCU_k3rrTpCuWiyCs31Y5PvGVR1ce8HH/view?usp=sharing" TargetMode="External"/><Relationship Id="rId38" Type="http://schemas.openxmlformats.org/officeDocument/2006/relationships/hyperlink" Target="https://drive.google.com/file/d/1YKO1nvB3NuVDzjjCEkHXHCV-u_Rv7TmN/view?usp=sharing" TargetMode="External"/><Relationship Id="rId62" Type="http://schemas.openxmlformats.org/officeDocument/2006/relationships/hyperlink" Target="https://drive.google.com/file/d/1Q9tiGNM-bBk8YqngAA1Z9skfzVsVd74C/view?usp=sharing" TargetMode="External"/><Relationship Id="rId61" Type="http://schemas.openxmlformats.org/officeDocument/2006/relationships/hyperlink" Target="https://drive.google.com/file/d/1RRGUVifd6QQ-1RSkbNNs9pRhoteOw2E9/view?usp=sharing" TargetMode="External"/><Relationship Id="rId20" Type="http://schemas.openxmlformats.org/officeDocument/2006/relationships/hyperlink" Target="https://drive.google.com/file/d/1yhsPNUwwEATeeEULjPaN_9KLuvNOEMNs/view?usp=sharing" TargetMode="External"/><Relationship Id="rId64" Type="http://schemas.openxmlformats.org/officeDocument/2006/relationships/hyperlink" Target="https://drive.google.com/file/d/19ICEpURwz9-IfnfQWjvZqhjtX71lAA-n/view?usp=sharing" TargetMode="External"/><Relationship Id="rId63" Type="http://schemas.openxmlformats.org/officeDocument/2006/relationships/hyperlink" Target="https://drive.google.com/file/d/1_hH46G82f6v_FCrh4sprAXJY4VM2IN60/view?usp=sharing" TargetMode="External"/><Relationship Id="rId22" Type="http://schemas.openxmlformats.org/officeDocument/2006/relationships/hyperlink" Target="https://drive.google.com/file/d/1lMOmou7zT497zVKgdp3emulLV69RlwtF/view?usp=sharing" TargetMode="External"/><Relationship Id="rId66" Type="http://schemas.openxmlformats.org/officeDocument/2006/relationships/hyperlink" Target="https://drive.google.com/file/d/1M1O2Oj_uiIWxR-FIwhg9HhY_sAfDvr58/view?usp=sharing" TargetMode="External"/><Relationship Id="rId21" Type="http://schemas.openxmlformats.org/officeDocument/2006/relationships/hyperlink" Target="https://drive.google.com/file/d/1WZM1E11feXxWcax_94MQrVtiTCFkTygq/view?usp=sharing" TargetMode="External"/><Relationship Id="rId65" Type="http://schemas.openxmlformats.org/officeDocument/2006/relationships/hyperlink" Target="https://drive.google.com/file/d/19VGRqFms9IkD_ZMTIVg1rTUCAHrlU5Bi/view?usp=sharing" TargetMode="External"/><Relationship Id="rId24" Type="http://schemas.openxmlformats.org/officeDocument/2006/relationships/hyperlink" Target="https://drive.google.com/file/d/1R5iRLBqALWqqDE044c1qnsPtoH4Yvead/view?usp=sharing" TargetMode="External"/><Relationship Id="rId68" Type="http://schemas.openxmlformats.org/officeDocument/2006/relationships/hyperlink" Target="https://drive.google.com/file/d/1uTDiWpJj9ii84opzn5rDcmAqwSVp-Wic/view?usp=sharing" TargetMode="External"/><Relationship Id="rId23" Type="http://schemas.openxmlformats.org/officeDocument/2006/relationships/hyperlink" Target="https://drive.google.com/file/d/1KM40HdnJgK8kUD_Cz_EZcEzPuQG-Yods/view?usp=sharing" TargetMode="External"/><Relationship Id="rId67" Type="http://schemas.openxmlformats.org/officeDocument/2006/relationships/hyperlink" Target="https://drive.google.com/file/d/1ZuOeYGcQkIVOGmd6M3kq0cE-L6usndsw/view?usp=sharing" TargetMode="External"/><Relationship Id="rId60" Type="http://schemas.openxmlformats.org/officeDocument/2006/relationships/hyperlink" Target="https://drive.google.com/file/d/1agSH9QogYznb8igQOCeo4q1SxOxfBVXn/view?usp=sharing" TargetMode="External"/><Relationship Id="rId26" Type="http://schemas.openxmlformats.org/officeDocument/2006/relationships/hyperlink" Target="https://drive.google.com/file/d/1cXyUd859QmkLTm95Oo8vnw2Gv3A-y13Y/view?usp=sharing" TargetMode="External"/><Relationship Id="rId25" Type="http://schemas.openxmlformats.org/officeDocument/2006/relationships/hyperlink" Target="https://drive.google.com/file/d/1xNG522AVaOQnoU49dOLCj16QPljdFgD_/view?usp=sharing" TargetMode="External"/><Relationship Id="rId69" Type="http://schemas.openxmlformats.org/officeDocument/2006/relationships/hyperlink" Target="https://drive.google.com/file/d/1_AFa4wVITWy_VNaOB586pfLNz6OxgzqH/view?usp=sharing" TargetMode="External"/><Relationship Id="rId28" Type="http://schemas.openxmlformats.org/officeDocument/2006/relationships/hyperlink" Target="https://drive.google.com/file/d/1cF_RqU7zKh9_twLCEfMbn3XKp-fr5mwW/view?usp=sharing" TargetMode="External"/><Relationship Id="rId27" Type="http://schemas.openxmlformats.org/officeDocument/2006/relationships/hyperlink" Target="https://drive.google.com/file/d/1-gN2hyFpwPZw86I8HJ-xsc6Fu8J6vRmg/view?usp=sharing" TargetMode="External"/><Relationship Id="rId29" Type="http://schemas.openxmlformats.org/officeDocument/2006/relationships/hyperlink" Target="https://drive.google.com/file/d/1cF_RqU7zKh9_twLCEfMbn3XKp-fr5mwW/view?usp=sharing" TargetMode="External"/><Relationship Id="rId51" Type="http://schemas.openxmlformats.org/officeDocument/2006/relationships/hyperlink" Target="https://drive.google.com/file/d/17mU27ALP4nnugW7JJHAbOmoQnS8S7KMH/view?usp=sharing" TargetMode="External"/><Relationship Id="rId50" Type="http://schemas.openxmlformats.org/officeDocument/2006/relationships/hyperlink" Target="https://drive.google.com/file/d/1kA0qRGGZbB_VztXfYM8aYP63HB5Pzz_r/view?usp=sharing" TargetMode="External"/><Relationship Id="rId53" Type="http://schemas.openxmlformats.org/officeDocument/2006/relationships/hyperlink" Target="https://drive.google.com/file/d/1BloDOmn2yT9q1Iz0A-D5RHxm_I-eH2uc/view?usp=sharing" TargetMode="External"/><Relationship Id="rId52" Type="http://schemas.openxmlformats.org/officeDocument/2006/relationships/hyperlink" Target="https://drive.google.com/file/d/1z8LWnM1OBwmqebGK79uu7ulTmjH9Xg1o/view?usp=sharing" TargetMode="External"/><Relationship Id="rId11" Type="http://schemas.openxmlformats.org/officeDocument/2006/relationships/hyperlink" Target="https://drive.google.com/file/d/1Pie-83tzi90VjmBbsl7y5B6np-RMGTNk/view?usp=sharing" TargetMode="External"/><Relationship Id="rId55" Type="http://schemas.openxmlformats.org/officeDocument/2006/relationships/hyperlink" Target="https://drive.google.com/file/d/1E4Hh2Mls_PYChJCKpyy2S01mQI7py8aJ/view?usp=sharing" TargetMode="External"/><Relationship Id="rId10" Type="http://schemas.openxmlformats.org/officeDocument/2006/relationships/hyperlink" Target="https://drive.google.com/file/d/1l3d1C2e0SsiT4CkhiOtbrFfqZIRmYIgk/view?usp=sharing" TargetMode="External"/><Relationship Id="rId54" Type="http://schemas.openxmlformats.org/officeDocument/2006/relationships/hyperlink" Target="https://drive.google.com/file/d/1m4hPOZyzN3whHK3RMTDB4bsxRrmDHOsQ/view?usp=sharing" TargetMode="External"/><Relationship Id="rId13" Type="http://schemas.openxmlformats.org/officeDocument/2006/relationships/hyperlink" Target="https://drive.google.com/file/d/1AbhOBakM4hfREcuj-dsSPcqP074hAh8f/view?usp=sharing" TargetMode="External"/><Relationship Id="rId57" Type="http://schemas.openxmlformats.org/officeDocument/2006/relationships/hyperlink" Target="https://drive.google.com/file/d/1Cjfap5C_5sBsC_z4ovsPCMVjgmUM-QDz/view?usp=sharing" TargetMode="External"/><Relationship Id="rId12" Type="http://schemas.openxmlformats.org/officeDocument/2006/relationships/hyperlink" Target="https://drive.google.com/file/d/1VpNqXe5aIzktxTXEVe9lSoWLZiT5_tlI/view?usp=sharing" TargetMode="External"/><Relationship Id="rId56" Type="http://schemas.openxmlformats.org/officeDocument/2006/relationships/hyperlink" Target="https://drive.google.com/file/d/1B8NxxWKpLVvqhq6_mth-KcA_CgcjUvwT/view?usp=sharing" TargetMode="External"/><Relationship Id="rId15" Type="http://schemas.openxmlformats.org/officeDocument/2006/relationships/hyperlink" Target="https://drive.google.com/file/d/1LYepb7xTBfsu_QrNprGqS6eYEOMF5cV-/view?usp=sharing" TargetMode="External"/><Relationship Id="rId59" Type="http://schemas.openxmlformats.org/officeDocument/2006/relationships/hyperlink" Target="https://drive.google.com/file/d/1U-HmRP1y73dmGdo99jNd5PkqGRPKWEAW/view?usp=sharing" TargetMode="External"/><Relationship Id="rId14" Type="http://schemas.openxmlformats.org/officeDocument/2006/relationships/hyperlink" Target="https://drive.google.com/file/d/1hiPS61evlb_xpZoSb_eKYzrZiJTx-N5-/view?usp=sharing" TargetMode="External"/><Relationship Id="rId58" Type="http://schemas.openxmlformats.org/officeDocument/2006/relationships/hyperlink" Target="https://drive.google.com/file/d/1fIolVBh7eR4vmTZi7oq8Zw-apu2ia49J/view?usp=sharing" TargetMode="External"/><Relationship Id="rId17" Type="http://schemas.openxmlformats.org/officeDocument/2006/relationships/hyperlink" Target="https://drive.google.com/file/d/1Frc_-MhBe5TOK7G7T1kh57RkxM4uWpzu/view?usp=sharing" TargetMode="External"/><Relationship Id="rId16" Type="http://schemas.openxmlformats.org/officeDocument/2006/relationships/hyperlink" Target="https://drive.google.com/file/d/1RYS53yCbSm6hG6bAfcstKNr2hB3Qu1er/view?usp=sharing" TargetMode="External"/><Relationship Id="rId19" Type="http://schemas.openxmlformats.org/officeDocument/2006/relationships/hyperlink" Target="https://drive.google.com/file/d/1O8FAjseKznUJ2sjDv55G2j228vsR8QQf/view?usp=sharing" TargetMode="External"/><Relationship Id="rId18" Type="http://schemas.openxmlformats.org/officeDocument/2006/relationships/hyperlink" Target="https://drive.google.com/file/d/1_vjhg5QWo49CPXNXR7Mm-yvqyMgpyOHa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9.75"/>
    <col customWidth="1" min="3" max="3" width="8.63"/>
    <col customWidth="1" min="4" max="4" width="8.0"/>
    <col customWidth="1" min="5" max="5" width="5.63"/>
    <col customWidth="1" min="6" max="6" width="20.75"/>
    <col customWidth="1" min="7" max="7" width="7.25"/>
    <col customWidth="1" min="8" max="8" width="6.13"/>
    <col customWidth="1" min="9" max="9" width="4.25"/>
    <col customWidth="1" min="10" max="10" width="14.75"/>
    <col customWidth="1" min="11" max="11" width="15.88"/>
    <col customWidth="1" min="12" max="12" width="14.88"/>
    <col customWidth="1" min="13" max="13" width="8.5"/>
    <col customWidth="1" min="14" max="14" width="8.0"/>
    <col customWidth="1" min="15" max="15" width="6.88"/>
    <col customWidth="1" min="16" max="16" width="9.38"/>
    <col customWidth="1" min="17" max="17" width="5.75"/>
    <col customWidth="1" min="18" max="29" width="4.38"/>
  </cols>
  <sheetData>
    <row r="1">
      <c r="A1" s="1" t="s">
        <v>0</v>
      </c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4" t="s">
        <v>13</v>
      </c>
      <c r="N2" s="4" t="s">
        <v>14</v>
      </c>
      <c r="O2" s="4" t="s">
        <v>15</v>
      </c>
      <c r="P2" s="3" t="s">
        <v>16</v>
      </c>
      <c r="Q2" s="5" t="s">
        <v>17</v>
      </c>
    </row>
    <row r="3">
      <c r="A3" s="6"/>
      <c r="C3" s="7"/>
      <c r="Q3" s="2"/>
    </row>
    <row r="4">
      <c r="A4" s="6">
        <v>45772.0</v>
      </c>
      <c r="C4" s="7"/>
      <c r="Q4" s="2"/>
    </row>
    <row r="5">
      <c r="A5" s="8">
        <v>45754.0</v>
      </c>
      <c r="B5" s="9" t="s">
        <v>18</v>
      </c>
      <c r="C5" s="10" t="s">
        <v>19</v>
      </c>
      <c r="D5" s="11" t="s">
        <v>20</v>
      </c>
      <c r="E5" s="12"/>
      <c r="F5" s="12"/>
      <c r="G5" s="12"/>
      <c r="H5" s="12"/>
      <c r="I5" s="11" t="s">
        <v>9</v>
      </c>
      <c r="J5" s="11">
        <v>76.0</v>
      </c>
      <c r="K5" s="11" t="s">
        <v>21</v>
      </c>
      <c r="L5" s="11">
        <v>97.0</v>
      </c>
      <c r="M5" s="13" t="s">
        <v>22</v>
      </c>
      <c r="N5" s="13" t="s">
        <v>23</v>
      </c>
      <c r="O5" s="13" t="s">
        <v>24</v>
      </c>
      <c r="P5" s="12"/>
      <c r="Q5" s="14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>
      <c r="A6" s="16">
        <v>45761.0</v>
      </c>
      <c r="B6" s="17" t="s">
        <v>18</v>
      </c>
      <c r="C6" s="18" t="s">
        <v>25</v>
      </c>
      <c r="D6" s="19" t="s">
        <v>20</v>
      </c>
      <c r="E6" s="19"/>
      <c r="F6" s="19" t="s">
        <v>26</v>
      </c>
      <c r="G6" s="19"/>
      <c r="H6" s="20"/>
      <c r="I6" s="19" t="s">
        <v>9</v>
      </c>
      <c r="J6" s="19">
        <v>85.0</v>
      </c>
      <c r="K6" s="19" t="s">
        <v>27</v>
      </c>
      <c r="L6" s="19">
        <v>100.0</v>
      </c>
      <c r="M6" s="21" t="s">
        <v>28</v>
      </c>
      <c r="N6" s="21" t="s">
        <v>29</v>
      </c>
      <c r="O6" s="21" t="s">
        <v>30</v>
      </c>
      <c r="P6" s="22" t="str">
        <f>IFERROR(__xludf.DUMMYFUNCTION("M6.url"),"https://drive.google.com/file/d/1gJZLS2xIX48XHqeCPT8qhB6YQ3h1OdPR/view?usp=sharing")</f>
        <v>https://drive.google.com/file/d/1gJZLS2xIX48XHqeCPT8qhB6YQ3h1OdPR/view?usp=sharing</v>
      </c>
      <c r="Q6" s="14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>
      <c r="A7" s="8">
        <v>45768.0</v>
      </c>
      <c r="B7" s="9" t="s">
        <v>18</v>
      </c>
      <c r="C7" s="10" t="s">
        <v>19</v>
      </c>
      <c r="D7" s="11" t="s">
        <v>20</v>
      </c>
      <c r="E7" s="12"/>
      <c r="F7" s="11" t="s">
        <v>31</v>
      </c>
      <c r="G7" s="12"/>
      <c r="H7" s="12"/>
      <c r="I7" s="11" t="s">
        <v>9</v>
      </c>
      <c r="J7" s="11">
        <v>88.0</v>
      </c>
      <c r="K7" s="11" t="s">
        <v>32</v>
      </c>
      <c r="L7" s="11">
        <v>96.0</v>
      </c>
      <c r="M7" s="13" t="s">
        <v>33</v>
      </c>
      <c r="N7" s="13" t="s">
        <v>34</v>
      </c>
      <c r="O7" s="23" t="s">
        <v>35</v>
      </c>
      <c r="P7" s="11"/>
      <c r="Q7" s="14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>
      <c r="A8" s="16">
        <v>45775.0</v>
      </c>
      <c r="B8" s="17" t="s">
        <v>18</v>
      </c>
      <c r="C8" s="18" t="s">
        <v>19</v>
      </c>
      <c r="D8" s="19" t="s">
        <v>20</v>
      </c>
      <c r="E8" s="20"/>
      <c r="F8" s="19" t="s">
        <v>36</v>
      </c>
      <c r="G8" s="20"/>
      <c r="H8" s="20"/>
      <c r="I8" s="19" t="s">
        <v>9</v>
      </c>
      <c r="J8" s="20"/>
      <c r="K8" s="20"/>
      <c r="L8" s="20"/>
      <c r="M8" s="20"/>
      <c r="N8" s="20"/>
      <c r="O8" s="20"/>
      <c r="P8" s="20"/>
      <c r="Q8" s="14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>
      <c r="A9" s="24">
        <v>45782.0</v>
      </c>
      <c r="B9" s="9" t="s">
        <v>18</v>
      </c>
      <c r="C9" s="10" t="s">
        <v>37</v>
      </c>
      <c r="D9" s="11" t="s">
        <v>19</v>
      </c>
      <c r="E9" s="12"/>
      <c r="F9" s="11" t="s">
        <v>38</v>
      </c>
      <c r="G9" s="12"/>
      <c r="H9" s="12"/>
      <c r="I9" s="11" t="s">
        <v>39</v>
      </c>
      <c r="J9" s="11">
        <v>86.0</v>
      </c>
      <c r="K9" s="11" t="s">
        <v>40</v>
      </c>
      <c r="L9" s="11">
        <v>89.0</v>
      </c>
      <c r="M9" s="13" t="s">
        <v>41</v>
      </c>
      <c r="N9" s="13" t="s">
        <v>42</v>
      </c>
      <c r="O9" s="13" t="s">
        <v>43</v>
      </c>
      <c r="P9" s="12"/>
      <c r="Q9" s="14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>
      <c r="A10" s="25">
        <v>45792.0</v>
      </c>
      <c r="B10" s="17" t="s">
        <v>44</v>
      </c>
      <c r="C10" s="18" t="s">
        <v>45</v>
      </c>
      <c r="D10" s="19" t="s">
        <v>46</v>
      </c>
      <c r="E10" s="20"/>
      <c r="F10" s="19" t="s">
        <v>47</v>
      </c>
      <c r="G10" s="20"/>
      <c r="H10" s="20"/>
      <c r="I10" s="19" t="s">
        <v>9</v>
      </c>
      <c r="J10" s="19">
        <v>77.0</v>
      </c>
      <c r="K10" s="19" t="s">
        <v>48</v>
      </c>
      <c r="L10" s="19">
        <v>100.0</v>
      </c>
      <c r="M10" s="21" t="s">
        <v>49</v>
      </c>
      <c r="N10" s="21" t="s">
        <v>50</v>
      </c>
      <c r="O10" s="21" t="s">
        <v>51</v>
      </c>
      <c r="P10" s="20"/>
      <c r="Q10" s="14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>
      <c r="A11" s="26">
        <v>45796.0</v>
      </c>
      <c r="B11" s="27" t="s">
        <v>18</v>
      </c>
      <c r="C11" s="28">
        <v>0.875</v>
      </c>
      <c r="D11" s="29">
        <v>0.9166666666666666</v>
      </c>
      <c r="E11" s="30">
        <v>1.0</v>
      </c>
      <c r="F11" s="30" t="s">
        <v>52</v>
      </c>
      <c r="G11" s="30" t="s">
        <v>53</v>
      </c>
      <c r="H11" s="30"/>
      <c r="I11" s="30" t="s">
        <v>9</v>
      </c>
      <c r="J11" s="31"/>
      <c r="K11" s="31"/>
      <c r="L11" s="31"/>
      <c r="M11" s="31"/>
      <c r="N11" s="31"/>
      <c r="O11" s="31"/>
      <c r="P11" s="31"/>
      <c r="Q11" s="32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>
      <c r="A12" s="25">
        <v>45803.0</v>
      </c>
      <c r="B12" s="17" t="s">
        <v>18</v>
      </c>
      <c r="C12" s="34">
        <v>0.4375</v>
      </c>
      <c r="D12" s="35">
        <v>0.4791666666666667</v>
      </c>
      <c r="E12" s="20"/>
      <c r="F12" s="19" t="s">
        <v>52</v>
      </c>
      <c r="G12" s="20"/>
      <c r="H12" s="20"/>
      <c r="I12" s="19" t="s">
        <v>9</v>
      </c>
      <c r="J12" s="19">
        <v>78.0</v>
      </c>
      <c r="K12" s="19" t="s">
        <v>54</v>
      </c>
      <c r="L12" s="19">
        <v>90.0</v>
      </c>
      <c r="M12" s="21" t="s">
        <v>55</v>
      </c>
      <c r="N12" s="21" t="s">
        <v>56</v>
      </c>
      <c r="O12" s="21" t="s">
        <v>57</v>
      </c>
      <c r="P12" s="20"/>
      <c r="Q12" s="14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>
      <c r="A13" s="24">
        <v>45810.0</v>
      </c>
      <c r="B13" s="9" t="s">
        <v>18</v>
      </c>
      <c r="C13" s="10" t="s">
        <v>19</v>
      </c>
      <c r="D13" s="11" t="s">
        <v>20</v>
      </c>
      <c r="E13" s="12"/>
      <c r="F13" s="11" t="s">
        <v>58</v>
      </c>
      <c r="G13" s="12"/>
      <c r="H13" s="12"/>
      <c r="I13" s="11" t="s">
        <v>39</v>
      </c>
      <c r="J13" s="11">
        <v>74.0</v>
      </c>
      <c r="K13" s="11" t="s">
        <v>59</v>
      </c>
      <c r="L13" s="11">
        <v>100.0</v>
      </c>
      <c r="M13" s="13" t="s">
        <v>60</v>
      </c>
      <c r="N13" s="13" t="s">
        <v>61</v>
      </c>
      <c r="O13" s="23" t="s">
        <v>62</v>
      </c>
      <c r="P13" s="12"/>
      <c r="Q13" s="14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25">
        <v>45817.0</v>
      </c>
      <c r="B14" s="17" t="s">
        <v>18</v>
      </c>
      <c r="C14" s="18" t="s">
        <v>19</v>
      </c>
      <c r="D14" s="19" t="s">
        <v>20</v>
      </c>
      <c r="E14" s="20"/>
      <c r="F14" s="19" t="s">
        <v>63</v>
      </c>
      <c r="G14" s="20"/>
      <c r="H14" s="20"/>
      <c r="I14" s="19" t="s">
        <v>39</v>
      </c>
      <c r="J14" s="20"/>
      <c r="K14" s="20"/>
      <c r="L14" s="20"/>
      <c r="M14" s="20"/>
      <c r="N14" s="20"/>
      <c r="O14" s="20"/>
      <c r="P14" s="20"/>
      <c r="Q14" s="14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24">
        <v>45824.0</v>
      </c>
      <c r="B15" s="9" t="s">
        <v>18</v>
      </c>
      <c r="C15" s="10" t="s">
        <v>19</v>
      </c>
      <c r="D15" s="11" t="s">
        <v>20</v>
      </c>
      <c r="E15" s="12"/>
      <c r="F15" s="11" t="s">
        <v>64</v>
      </c>
      <c r="G15" s="12"/>
      <c r="H15" s="12"/>
      <c r="I15" s="11" t="s">
        <v>9</v>
      </c>
      <c r="J15" s="11">
        <v>71.0</v>
      </c>
      <c r="K15" s="11" t="s">
        <v>65</v>
      </c>
      <c r="L15" s="11">
        <v>100.0</v>
      </c>
      <c r="M15" s="13" t="s">
        <v>66</v>
      </c>
      <c r="N15" s="13" t="s">
        <v>67</v>
      </c>
      <c r="O15" s="13" t="s">
        <v>68</v>
      </c>
      <c r="P15" s="12"/>
      <c r="Q15" s="14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25"/>
      <c r="B16" s="17"/>
      <c r="C16" s="34">
        <v>0.625</v>
      </c>
      <c r="D16" s="35">
        <v>0.6666666666666666</v>
      </c>
      <c r="E16" s="20"/>
      <c r="F16" s="19" t="s">
        <v>69</v>
      </c>
      <c r="G16" s="20"/>
      <c r="H16" s="20"/>
      <c r="I16" s="19" t="s">
        <v>9</v>
      </c>
      <c r="J16" s="20"/>
      <c r="K16" s="20"/>
      <c r="L16" s="20"/>
      <c r="M16" s="20"/>
      <c r="N16" s="20"/>
      <c r="O16" s="20"/>
      <c r="P16" s="20"/>
      <c r="Q16" s="14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24"/>
      <c r="B17" s="36" t="s">
        <v>70</v>
      </c>
      <c r="C17" s="37">
        <v>0.625</v>
      </c>
      <c r="D17" s="38">
        <v>0.6666666666666666</v>
      </c>
      <c r="E17" s="12"/>
      <c r="F17" s="11" t="s">
        <v>71</v>
      </c>
      <c r="G17" s="11" t="s">
        <v>72</v>
      </c>
      <c r="H17" s="12"/>
      <c r="I17" s="11" t="s">
        <v>39</v>
      </c>
      <c r="J17" s="11">
        <v>71.0</v>
      </c>
      <c r="K17" s="11" t="s">
        <v>73</v>
      </c>
      <c r="L17" s="11">
        <v>95.0</v>
      </c>
      <c r="M17" s="13" t="s">
        <v>74</v>
      </c>
      <c r="N17" s="13" t="s">
        <v>75</v>
      </c>
      <c r="O17" s="13" t="s">
        <v>76</v>
      </c>
      <c r="P17" s="12"/>
      <c r="Q17" s="14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25"/>
      <c r="B18" s="39" t="s">
        <v>70</v>
      </c>
      <c r="C18" s="34">
        <v>0.625</v>
      </c>
      <c r="D18" s="35">
        <v>0.6666666666666666</v>
      </c>
      <c r="E18" s="20"/>
      <c r="F18" s="19" t="s">
        <v>77</v>
      </c>
      <c r="G18" s="20"/>
      <c r="H18" s="20"/>
      <c r="I18" s="19" t="s">
        <v>39</v>
      </c>
      <c r="J18" s="19">
        <v>83.0</v>
      </c>
      <c r="K18" s="20"/>
      <c r="L18" s="20"/>
      <c r="M18" s="21" t="s">
        <v>78</v>
      </c>
      <c r="N18" s="19"/>
      <c r="O18" s="20"/>
      <c r="P18" s="19"/>
      <c r="Q18" s="14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24"/>
      <c r="B19" s="9"/>
      <c r="C19" s="37">
        <v>0.7083333333333334</v>
      </c>
      <c r="D19" s="38">
        <v>0.75</v>
      </c>
      <c r="E19" s="11"/>
      <c r="F19" s="11" t="s">
        <v>77</v>
      </c>
      <c r="G19" s="11"/>
      <c r="H19" s="12"/>
      <c r="I19" s="11" t="s">
        <v>39</v>
      </c>
      <c r="J19" s="11">
        <v>83.0</v>
      </c>
      <c r="K19" s="11" t="s">
        <v>79</v>
      </c>
      <c r="L19" s="11">
        <v>96.0</v>
      </c>
      <c r="M19" s="13" t="s">
        <v>78</v>
      </c>
      <c r="N19" s="13" t="s">
        <v>80</v>
      </c>
      <c r="O19" s="13" t="s">
        <v>81</v>
      </c>
      <c r="P19" s="11"/>
      <c r="Q19" s="40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26">
        <v>45856.0</v>
      </c>
      <c r="B20" s="27" t="s">
        <v>70</v>
      </c>
      <c r="C20" s="28">
        <v>0.5833333333333334</v>
      </c>
      <c r="D20" s="29">
        <v>0.625</v>
      </c>
      <c r="E20" s="31"/>
      <c r="F20" s="31"/>
      <c r="G20" s="31"/>
      <c r="H20" s="31"/>
      <c r="I20" s="30" t="s">
        <v>39</v>
      </c>
      <c r="J20" s="31"/>
      <c r="K20" s="31"/>
      <c r="L20" s="31"/>
      <c r="M20" s="31"/>
      <c r="N20" s="31"/>
      <c r="O20" s="31"/>
      <c r="P20" s="30"/>
      <c r="Q20" s="32"/>
      <c r="R20" s="41"/>
      <c r="S20" s="41"/>
      <c r="T20" s="41"/>
      <c r="U20" s="41"/>
      <c r="V20" s="41"/>
      <c r="W20" s="41"/>
      <c r="X20" s="41"/>
      <c r="Y20" s="33"/>
      <c r="Z20" s="33"/>
      <c r="AA20" s="33"/>
      <c r="AB20" s="33"/>
      <c r="AC20" s="33"/>
      <c r="AD20" s="33"/>
    </row>
    <row r="21">
      <c r="A21" s="25">
        <v>45863.0</v>
      </c>
      <c r="B21" s="17" t="s">
        <v>70</v>
      </c>
      <c r="C21" s="34">
        <v>0.625</v>
      </c>
      <c r="D21" s="35">
        <v>0.6666666666666666</v>
      </c>
      <c r="E21" s="20"/>
      <c r="F21" s="20"/>
      <c r="G21" s="20"/>
      <c r="H21" s="20"/>
      <c r="I21" s="19" t="s">
        <v>39</v>
      </c>
      <c r="J21" s="20"/>
      <c r="K21" s="20"/>
      <c r="L21" s="20"/>
      <c r="M21" s="20"/>
      <c r="N21" s="20"/>
      <c r="O21" s="20"/>
      <c r="P21" s="20"/>
      <c r="Q21" s="14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>
      <c r="C22" s="7"/>
      <c r="Q22" s="2"/>
    </row>
    <row r="23">
      <c r="A23" s="42">
        <v>45572.0</v>
      </c>
      <c r="B23" s="9" t="s">
        <v>18</v>
      </c>
      <c r="C23" s="43" t="s">
        <v>46</v>
      </c>
      <c r="D23" s="43" t="s">
        <v>82</v>
      </c>
      <c r="E23" s="44"/>
      <c r="F23" s="45" t="s">
        <v>83</v>
      </c>
      <c r="G23" s="44"/>
      <c r="H23" s="44"/>
      <c r="I23" s="9" t="s">
        <v>39</v>
      </c>
      <c r="J23" s="43">
        <f>46-7-8</f>
        <v>31</v>
      </c>
      <c r="K23" s="43" t="s">
        <v>84</v>
      </c>
      <c r="L23" s="43">
        <f>17/17*100</f>
        <v>100</v>
      </c>
      <c r="M23" s="46" t="s">
        <v>85</v>
      </c>
      <c r="N23" s="46" t="s">
        <v>86</v>
      </c>
      <c r="O23" s="46" t="s">
        <v>87</v>
      </c>
      <c r="P23" s="44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>
      <c r="A24" s="48">
        <v>45579.0</v>
      </c>
      <c r="B24" s="17" t="s">
        <v>18</v>
      </c>
      <c r="C24" s="49" t="s">
        <v>20</v>
      </c>
      <c r="D24" s="49" t="s">
        <v>88</v>
      </c>
      <c r="E24" s="50"/>
      <c r="F24" s="51" t="s">
        <v>89</v>
      </c>
      <c r="G24" s="50"/>
      <c r="H24" s="50"/>
      <c r="I24" s="17" t="s">
        <v>39</v>
      </c>
      <c r="J24" s="49">
        <v>50.0</v>
      </c>
      <c r="K24" s="49" t="s">
        <v>90</v>
      </c>
      <c r="L24" s="49">
        <f>27/30*100</f>
        <v>90</v>
      </c>
      <c r="M24" s="52" t="s">
        <v>91</v>
      </c>
      <c r="N24" s="53" t="s">
        <v>92</v>
      </c>
      <c r="O24" s="52" t="s">
        <v>93</v>
      </c>
      <c r="P24" s="50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>
      <c r="A25" s="54">
        <v>45586.0</v>
      </c>
      <c r="B25" s="55" t="s">
        <v>18</v>
      </c>
      <c r="C25" s="56" t="s">
        <v>20</v>
      </c>
      <c r="D25" s="56" t="s">
        <v>88</v>
      </c>
      <c r="E25" s="57"/>
      <c r="F25" s="58" t="s">
        <v>94</v>
      </c>
      <c r="G25" s="57"/>
      <c r="H25" s="57"/>
      <c r="I25" s="55" t="s">
        <v>39</v>
      </c>
      <c r="J25" s="56">
        <v>56.0</v>
      </c>
      <c r="K25" s="56" t="s">
        <v>95</v>
      </c>
      <c r="L25" s="59">
        <f>36/38*100</f>
        <v>94.73684211</v>
      </c>
      <c r="M25" s="60" t="s">
        <v>96</v>
      </c>
      <c r="N25" s="60" t="s">
        <v>97</v>
      </c>
      <c r="O25" s="61" t="s">
        <v>98</v>
      </c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</row>
    <row r="26">
      <c r="A26" s="48">
        <v>45593.0</v>
      </c>
      <c r="B26" s="17" t="s">
        <v>18</v>
      </c>
      <c r="C26" s="49" t="s">
        <v>20</v>
      </c>
      <c r="D26" s="49" t="s">
        <v>88</v>
      </c>
      <c r="E26" s="50"/>
      <c r="F26" s="51" t="s">
        <v>99</v>
      </c>
      <c r="G26" s="50"/>
      <c r="H26" s="50"/>
      <c r="I26" s="17" t="s">
        <v>39</v>
      </c>
      <c r="J26" s="49">
        <v>68.0</v>
      </c>
      <c r="K26" s="49" t="s">
        <v>100</v>
      </c>
      <c r="L26" s="62">
        <f>24/27*100</f>
        <v>88.88888889</v>
      </c>
      <c r="M26" s="53" t="s">
        <v>101</v>
      </c>
      <c r="N26" s="53" t="s">
        <v>102</v>
      </c>
      <c r="O26" s="53" t="s">
        <v>103</v>
      </c>
      <c r="P26" s="50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>
      <c r="A27" s="42">
        <v>45600.0</v>
      </c>
      <c r="B27" s="9" t="s">
        <v>18</v>
      </c>
      <c r="C27" s="43" t="s">
        <v>20</v>
      </c>
      <c r="D27" s="43" t="s">
        <v>88</v>
      </c>
      <c r="E27" s="44"/>
      <c r="F27" s="45" t="s">
        <v>104</v>
      </c>
      <c r="G27" s="44"/>
      <c r="H27" s="44"/>
      <c r="I27" s="9" t="s">
        <v>39</v>
      </c>
      <c r="J27" s="43">
        <v>54.0</v>
      </c>
      <c r="K27" s="43" t="s">
        <v>105</v>
      </c>
      <c r="L27" s="63">
        <f>35/40*100</f>
        <v>87.5</v>
      </c>
      <c r="M27" s="46" t="s">
        <v>106</v>
      </c>
      <c r="N27" s="46" t="s">
        <v>107</v>
      </c>
      <c r="O27" s="46" t="s">
        <v>108</v>
      </c>
      <c r="P27" s="44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</row>
    <row r="28">
      <c r="A28" s="48">
        <v>45607.0</v>
      </c>
      <c r="B28" s="17" t="s">
        <v>18</v>
      </c>
      <c r="C28" s="49" t="s">
        <v>20</v>
      </c>
      <c r="D28" s="49" t="s">
        <v>88</v>
      </c>
      <c r="E28" s="50"/>
      <c r="F28" s="51" t="s">
        <v>109</v>
      </c>
      <c r="G28" s="50"/>
      <c r="H28" s="50"/>
      <c r="I28" s="17" t="s">
        <v>39</v>
      </c>
      <c r="J28" s="50"/>
      <c r="K28" s="50"/>
      <c r="L28" s="50"/>
      <c r="M28" s="50"/>
      <c r="N28" s="50"/>
      <c r="O28" s="50"/>
      <c r="P28" s="50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</row>
    <row r="29">
      <c r="A29" s="48">
        <v>45608.0</v>
      </c>
      <c r="B29" s="17" t="s">
        <v>110</v>
      </c>
      <c r="C29" s="49" t="s">
        <v>82</v>
      </c>
      <c r="D29" s="49" t="s">
        <v>111</v>
      </c>
      <c r="E29" s="50"/>
      <c r="F29" s="51" t="s">
        <v>112</v>
      </c>
      <c r="G29" s="50"/>
      <c r="H29" s="50"/>
      <c r="I29" s="17" t="s">
        <v>39</v>
      </c>
      <c r="J29" s="49">
        <v>43.0</v>
      </c>
      <c r="K29" s="49" t="s">
        <v>113</v>
      </c>
      <c r="L29" s="62">
        <f>36/43*100</f>
        <v>83.72093023</v>
      </c>
      <c r="M29" s="53" t="s">
        <v>114</v>
      </c>
      <c r="N29" s="53" t="s">
        <v>115</v>
      </c>
      <c r="O29" s="53" t="s">
        <v>116</v>
      </c>
      <c r="P29" s="50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</row>
    <row r="30">
      <c r="A30" s="42">
        <v>45614.0</v>
      </c>
      <c r="B30" s="9" t="s">
        <v>18</v>
      </c>
      <c r="C30" s="43" t="s">
        <v>88</v>
      </c>
      <c r="D30" s="43" t="s">
        <v>117</v>
      </c>
      <c r="E30" s="44"/>
      <c r="F30" s="45" t="s">
        <v>118</v>
      </c>
      <c r="G30" s="44"/>
      <c r="H30" s="44"/>
      <c r="I30" s="9" t="s">
        <v>39</v>
      </c>
      <c r="J30" s="43">
        <v>47.0</v>
      </c>
      <c r="K30" s="43" t="s">
        <v>119</v>
      </c>
      <c r="L30" s="43">
        <f>37/37*100</f>
        <v>100</v>
      </c>
      <c r="M30" s="46" t="s">
        <v>120</v>
      </c>
      <c r="N30" s="46" t="s">
        <v>121</v>
      </c>
      <c r="O30" s="46" t="s">
        <v>122</v>
      </c>
      <c r="P30" s="44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</row>
    <row r="31">
      <c r="A31" s="48">
        <v>45622.0</v>
      </c>
      <c r="B31" s="17" t="s">
        <v>110</v>
      </c>
      <c r="C31" s="64">
        <v>0.8333333333333334</v>
      </c>
      <c r="D31" s="64">
        <v>0.875</v>
      </c>
      <c r="E31" s="50"/>
      <c r="F31" s="50"/>
      <c r="G31" s="50"/>
      <c r="H31" s="50"/>
      <c r="I31" s="17" t="s">
        <v>39</v>
      </c>
      <c r="J31" s="49">
        <v>122.0</v>
      </c>
      <c r="K31" s="49" t="s">
        <v>123</v>
      </c>
      <c r="L31" s="62">
        <f>55/67*100</f>
        <v>82.08955224</v>
      </c>
      <c r="M31" s="53" t="s">
        <v>124</v>
      </c>
      <c r="N31" s="53" t="s">
        <v>125</v>
      </c>
      <c r="O31" s="53" t="s">
        <v>126</v>
      </c>
      <c r="P31" s="50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</row>
    <row r="32">
      <c r="A32" s="42">
        <v>45629.0</v>
      </c>
      <c r="B32" s="9" t="s">
        <v>110</v>
      </c>
      <c r="C32" s="43" t="s">
        <v>117</v>
      </c>
      <c r="D32" s="43" t="s">
        <v>127</v>
      </c>
      <c r="E32" s="44"/>
      <c r="F32" s="45" t="s">
        <v>128</v>
      </c>
      <c r="G32" s="44"/>
      <c r="H32" s="44"/>
      <c r="I32" s="9" t="s">
        <v>39</v>
      </c>
      <c r="J32" s="43">
        <v>68.0</v>
      </c>
      <c r="K32" s="43" t="s">
        <v>129</v>
      </c>
      <c r="L32" s="43">
        <f>44/44*100</f>
        <v>100</v>
      </c>
      <c r="M32" s="46" t="s">
        <v>130</v>
      </c>
      <c r="N32" s="46" t="s">
        <v>131</v>
      </c>
      <c r="O32" s="46" t="s">
        <v>132</v>
      </c>
      <c r="P32" s="44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</row>
    <row r="33">
      <c r="A33" s="48">
        <v>45635.0</v>
      </c>
      <c r="B33" s="17" t="s">
        <v>18</v>
      </c>
      <c r="C33" s="49" t="s">
        <v>20</v>
      </c>
      <c r="D33" s="49" t="s">
        <v>88</v>
      </c>
      <c r="E33" s="50"/>
      <c r="F33" s="51" t="s">
        <v>133</v>
      </c>
      <c r="G33" s="50"/>
      <c r="H33" s="50"/>
      <c r="I33" s="17" t="s">
        <v>39</v>
      </c>
      <c r="J33" s="49">
        <v>59.0</v>
      </c>
      <c r="K33" s="50"/>
      <c r="L33" s="50"/>
      <c r="M33" s="53" t="s">
        <v>134</v>
      </c>
      <c r="N33" s="53" t="s">
        <v>135</v>
      </c>
      <c r="O33" s="50"/>
      <c r="P33" s="17" t="s">
        <v>136</v>
      </c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</row>
    <row r="34">
      <c r="A34" s="42">
        <v>45642.0</v>
      </c>
      <c r="B34" s="9" t="s">
        <v>18</v>
      </c>
      <c r="C34" s="43" t="s">
        <v>20</v>
      </c>
      <c r="D34" s="43" t="s">
        <v>88</v>
      </c>
      <c r="E34" s="44"/>
      <c r="F34" s="44"/>
      <c r="G34" s="44"/>
      <c r="H34" s="44"/>
      <c r="I34" s="9" t="s">
        <v>39</v>
      </c>
      <c r="J34" s="43">
        <v>65.0</v>
      </c>
      <c r="K34" s="43" t="s">
        <v>137</v>
      </c>
      <c r="L34" s="43">
        <f>48/50*100</f>
        <v>96</v>
      </c>
      <c r="M34" s="46" t="s">
        <v>138</v>
      </c>
      <c r="N34" s="46" t="s">
        <v>139</v>
      </c>
      <c r="O34" s="46" t="s">
        <v>140</v>
      </c>
      <c r="P34" s="44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</row>
    <row r="35">
      <c r="A35" s="48">
        <v>45649.0</v>
      </c>
      <c r="B35" s="17" t="s">
        <v>18</v>
      </c>
      <c r="C35" s="64">
        <v>0.8333333333333334</v>
      </c>
      <c r="D35" s="64">
        <v>0.875</v>
      </c>
      <c r="E35" s="50"/>
      <c r="F35" s="51" t="s">
        <v>141</v>
      </c>
      <c r="G35" s="50"/>
      <c r="H35" s="50"/>
      <c r="I35" s="17" t="s">
        <v>39</v>
      </c>
      <c r="J35" s="49">
        <v>110.0</v>
      </c>
      <c r="K35" s="49" t="s">
        <v>142</v>
      </c>
      <c r="L35" s="62">
        <f>18/19*100</f>
        <v>94.73684211</v>
      </c>
      <c r="M35" s="53" t="s">
        <v>143</v>
      </c>
      <c r="N35" s="53" t="s">
        <v>144</v>
      </c>
      <c r="O35" s="53" t="s">
        <v>145</v>
      </c>
      <c r="P35" s="50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  <row r="36">
      <c r="A36" s="65"/>
      <c r="B36" s="50"/>
      <c r="C36" s="50"/>
      <c r="D36" s="50"/>
      <c r="E36" s="50"/>
      <c r="F36" s="51" t="s">
        <v>146</v>
      </c>
      <c r="G36" s="50"/>
      <c r="H36" s="50"/>
      <c r="I36" s="17" t="s">
        <v>39</v>
      </c>
      <c r="J36" s="49">
        <v>110.0</v>
      </c>
      <c r="K36" s="50"/>
      <c r="L36" s="50"/>
      <c r="M36" s="53" t="s">
        <v>147</v>
      </c>
      <c r="N36" s="53" t="s">
        <v>148</v>
      </c>
      <c r="O36" s="50"/>
      <c r="P36" s="50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>
      <c r="A37" s="42">
        <v>45656.0</v>
      </c>
      <c r="B37" s="9" t="s">
        <v>18</v>
      </c>
      <c r="C37" s="43" t="s">
        <v>20</v>
      </c>
      <c r="D37" s="43" t="s">
        <v>88</v>
      </c>
      <c r="E37" s="44"/>
      <c r="F37" s="45" t="s">
        <v>69</v>
      </c>
      <c r="G37" s="44"/>
      <c r="H37" s="44"/>
      <c r="I37" s="9" t="s">
        <v>39</v>
      </c>
      <c r="J37" s="44"/>
      <c r="K37" s="44"/>
      <c r="L37" s="44"/>
      <c r="M37" s="44"/>
      <c r="N37" s="44"/>
      <c r="O37" s="44"/>
      <c r="P37" s="44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>
      <c r="A38" s="48">
        <v>45666.0</v>
      </c>
      <c r="B38" s="17" t="s">
        <v>44</v>
      </c>
      <c r="C38" s="64">
        <v>0.875</v>
      </c>
      <c r="D38" s="64">
        <v>0.9166666666666666</v>
      </c>
      <c r="E38" s="50"/>
      <c r="F38" s="51" t="s">
        <v>149</v>
      </c>
      <c r="G38" s="50"/>
      <c r="H38" s="50"/>
      <c r="I38" s="17" t="s">
        <v>39</v>
      </c>
      <c r="J38" s="49">
        <v>56.0</v>
      </c>
      <c r="K38" s="49" t="s">
        <v>150</v>
      </c>
      <c r="L38" s="62">
        <f>55/56*100</f>
        <v>98.21428571</v>
      </c>
      <c r="M38" s="53" t="s">
        <v>151</v>
      </c>
      <c r="N38" s="53" t="s">
        <v>152</v>
      </c>
      <c r="O38" s="53" t="s">
        <v>153</v>
      </c>
      <c r="P38" s="50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>
      <c r="A39" s="42">
        <v>45670.0</v>
      </c>
      <c r="B39" s="9" t="s">
        <v>18</v>
      </c>
      <c r="C39" s="43" t="s">
        <v>20</v>
      </c>
      <c r="D39" s="43" t="s">
        <v>88</v>
      </c>
      <c r="E39" s="44"/>
      <c r="F39" s="45" t="s">
        <v>154</v>
      </c>
      <c r="G39" s="44"/>
      <c r="H39" s="44"/>
      <c r="I39" s="9" t="s">
        <v>39</v>
      </c>
      <c r="J39" s="43">
        <v>50.0</v>
      </c>
      <c r="K39" s="43" t="s">
        <v>155</v>
      </c>
      <c r="L39" s="63">
        <f>25/29*100</f>
        <v>86.20689655</v>
      </c>
      <c r="M39" s="46" t="s">
        <v>156</v>
      </c>
      <c r="N39" s="46" t="s">
        <v>157</v>
      </c>
      <c r="O39" s="46" t="s">
        <v>158</v>
      </c>
      <c r="P39" s="44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>
      <c r="A40" s="48">
        <v>45677.0</v>
      </c>
      <c r="B40" s="17" t="s">
        <v>18</v>
      </c>
      <c r="C40" s="49" t="s">
        <v>20</v>
      </c>
      <c r="D40" s="49" t="s">
        <v>88</v>
      </c>
      <c r="E40" s="50"/>
      <c r="F40" s="51" t="s">
        <v>159</v>
      </c>
      <c r="G40" s="50"/>
      <c r="H40" s="50"/>
      <c r="I40" s="17" t="s">
        <v>39</v>
      </c>
      <c r="J40" s="49">
        <v>79.0</v>
      </c>
      <c r="K40" s="49" t="s">
        <v>160</v>
      </c>
      <c r="L40" s="49">
        <v>94.0</v>
      </c>
      <c r="M40" s="53" t="s">
        <v>161</v>
      </c>
      <c r="N40" s="53" t="s">
        <v>162</v>
      </c>
      <c r="O40" s="53" t="s">
        <v>163</v>
      </c>
      <c r="P40" s="50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>
      <c r="A41" s="42">
        <v>45684.0</v>
      </c>
      <c r="B41" s="9" t="s">
        <v>18</v>
      </c>
      <c r="C41" s="43" t="s">
        <v>20</v>
      </c>
      <c r="D41" s="43" t="s">
        <v>88</v>
      </c>
      <c r="E41" s="44"/>
      <c r="F41" s="45" t="s">
        <v>164</v>
      </c>
      <c r="G41" s="44"/>
      <c r="H41" s="44"/>
      <c r="I41" s="9" t="s">
        <v>39</v>
      </c>
      <c r="J41" s="43">
        <v>75.0</v>
      </c>
      <c r="K41" s="43" t="s">
        <v>165</v>
      </c>
      <c r="L41" s="63">
        <f>31/40*100</f>
        <v>77.5</v>
      </c>
      <c r="M41" s="46" t="s">
        <v>166</v>
      </c>
      <c r="N41" s="46" t="s">
        <v>167</v>
      </c>
      <c r="O41" s="46" t="s">
        <v>168</v>
      </c>
      <c r="P41" s="44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>
      <c r="A42" s="48">
        <v>45691.0</v>
      </c>
      <c r="B42" s="17" t="s">
        <v>18</v>
      </c>
      <c r="C42" s="49" t="s">
        <v>20</v>
      </c>
      <c r="D42" s="49" t="s">
        <v>88</v>
      </c>
      <c r="E42" s="50"/>
      <c r="F42" s="51" t="s">
        <v>169</v>
      </c>
      <c r="G42" s="50"/>
      <c r="H42" s="50"/>
      <c r="I42" s="17" t="s">
        <v>39</v>
      </c>
      <c r="J42" s="49">
        <v>72.0</v>
      </c>
      <c r="K42" s="49" t="s">
        <v>170</v>
      </c>
      <c r="L42" s="62">
        <f>35/39*100</f>
        <v>89.74358974</v>
      </c>
      <c r="M42" s="53" t="s">
        <v>171</v>
      </c>
      <c r="N42" s="53" t="s">
        <v>172</v>
      </c>
      <c r="O42" s="53" t="s">
        <v>173</v>
      </c>
      <c r="P42" s="50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>
      <c r="A43" s="42">
        <v>45698.0</v>
      </c>
      <c r="B43" s="9" t="s">
        <v>18</v>
      </c>
      <c r="C43" s="43" t="s">
        <v>20</v>
      </c>
      <c r="D43" s="43" t="s">
        <v>88</v>
      </c>
      <c r="E43" s="44"/>
      <c r="F43" s="45" t="s">
        <v>174</v>
      </c>
      <c r="G43" s="44"/>
      <c r="H43" s="44"/>
      <c r="I43" s="9" t="s">
        <v>39</v>
      </c>
      <c r="J43" s="43">
        <v>60.0</v>
      </c>
      <c r="K43" s="43" t="s">
        <v>175</v>
      </c>
      <c r="L43" s="43">
        <v>97.0</v>
      </c>
      <c r="M43" s="46" t="s">
        <v>176</v>
      </c>
      <c r="N43" s="46" t="s">
        <v>177</v>
      </c>
      <c r="O43" s="46" t="s">
        <v>178</v>
      </c>
      <c r="P43" s="44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>
      <c r="A44" s="48">
        <v>45705.0</v>
      </c>
      <c r="B44" s="17" t="s">
        <v>18</v>
      </c>
      <c r="C44" s="49" t="s">
        <v>20</v>
      </c>
      <c r="D44" s="49" t="s">
        <v>88</v>
      </c>
      <c r="E44" s="50"/>
      <c r="F44" s="51" t="s">
        <v>179</v>
      </c>
      <c r="G44" s="50"/>
      <c r="H44" s="50"/>
      <c r="I44" s="17" t="s">
        <v>39</v>
      </c>
      <c r="J44" s="50"/>
      <c r="K44" s="50"/>
      <c r="L44" s="49" t="s">
        <v>180</v>
      </c>
      <c r="M44" s="53" t="s">
        <v>181</v>
      </c>
      <c r="N44" s="53" t="s">
        <v>182</v>
      </c>
      <c r="O44" s="50"/>
      <c r="P44" s="50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>
      <c r="C45" s="7"/>
      <c r="Q45" s="2"/>
    </row>
    <row r="46">
      <c r="C46" s="7"/>
      <c r="Q46" s="2"/>
    </row>
    <row r="47">
      <c r="C47" s="7"/>
      <c r="Q47" s="2"/>
    </row>
    <row r="48">
      <c r="C48" s="7"/>
      <c r="Q48" s="2"/>
    </row>
    <row r="49">
      <c r="C49" s="7"/>
      <c r="Q49" s="2"/>
    </row>
    <row r="50">
      <c r="C50" s="7"/>
      <c r="Q50" s="2"/>
    </row>
    <row r="51">
      <c r="C51" s="7"/>
      <c r="Q51" s="2"/>
    </row>
    <row r="52">
      <c r="C52" s="7"/>
      <c r="Q52" s="2"/>
    </row>
    <row r="53">
      <c r="C53" s="7"/>
      <c r="Q53" s="2"/>
    </row>
    <row r="54">
      <c r="C54" s="7"/>
      <c r="Q54" s="2"/>
    </row>
    <row r="55">
      <c r="C55" s="7"/>
      <c r="Q55" s="2"/>
    </row>
    <row r="56">
      <c r="C56" s="7"/>
      <c r="Q56" s="2"/>
    </row>
    <row r="57">
      <c r="C57" s="7"/>
      <c r="Q57" s="2"/>
    </row>
    <row r="58">
      <c r="C58" s="7"/>
      <c r="Q58" s="2"/>
    </row>
    <row r="59">
      <c r="C59" s="7"/>
      <c r="Q59" s="2"/>
    </row>
    <row r="60">
      <c r="C60" s="7"/>
      <c r="Q60" s="2"/>
    </row>
    <row r="61">
      <c r="C61" s="7"/>
      <c r="Q61" s="2"/>
    </row>
    <row r="62">
      <c r="C62" s="7"/>
      <c r="Q62" s="2"/>
    </row>
    <row r="63">
      <c r="C63" s="7"/>
      <c r="Q63" s="2"/>
    </row>
    <row r="64">
      <c r="C64" s="7"/>
      <c r="Q64" s="2"/>
    </row>
    <row r="65">
      <c r="C65" s="7"/>
      <c r="Q65" s="2"/>
    </row>
    <row r="66">
      <c r="C66" s="7"/>
      <c r="Q66" s="2"/>
    </row>
    <row r="67">
      <c r="C67" s="7"/>
      <c r="Q67" s="2"/>
    </row>
    <row r="68">
      <c r="C68" s="7"/>
      <c r="Q68" s="2"/>
    </row>
    <row r="69">
      <c r="C69" s="7"/>
      <c r="Q69" s="2"/>
    </row>
    <row r="70">
      <c r="C70" s="7"/>
      <c r="Q70" s="2"/>
    </row>
    <row r="71">
      <c r="C71" s="7"/>
      <c r="Q71" s="2"/>
    </row>
    <row r="72">
      <c r="C72" s="7"/>
      <c r="Q72" s="2"/>
    </row>
    <row r="73">
      <c r="C73" s="7"/>
      <c r="Q73" s="2"/>
    </row>
    <row r="74">
      <c r="C74" s="7"/>
      <c r="Q74" s="2"/>
    </row>
    <row r="75">
      <c r="C75" s="7"/>
      <c r="Q75" s="2"/>
    </row>
    <row r="76">
      <c r="C76" s="7"/>
      <c r="Q76" s="2"/>
    </row>
    <row r="77">
      <c r="C77" s="7"/>
      <c r="Q77" s="2"/>
    </row>
    <row r="78">
      <c r="C78" s="7"/>
      <c r="Q78" s="2"/>
    </row>
    <row r="79">
      <c r="C79" s="7"/>
      <c r="Q79" s="2"/>
    </row>
    <row r="80">
      <c r="C80" s="7"/>
      <c r="Q80" s="2"/>
    </row>
    <row r="81">
      <c r="C81" s="7"/>
      <c r="Q81" s="2"/>
    </row>
    <row r="82">
      <c r="C82" s="7"/>
      <c r="Q82" s="2"/>
    </row>
    <row r="83">
      <c r="C83" s="7"/>
      <c r="Q83" s="2"/>
    </row>
    <row r="84">
      <c r="C84" s="7"/>
      <c r="Q84" s="2"/>
    </row>
    <row r="85">
      <c r="C85" s="7"/>
      <c r="Q85" s="2"/>
    </row>
    <row r="86">
      <c r="C86" s="7"/>
      <c r="Q86" s="2"/>
    </row>
    <row r="87">
      <c r="C87" s="7"/>
      <c r="Q87" s="2"/>
    </row>
    <row r="88">
      <c r="C88" s="7"/>
      <c r="Q88" s="2"/>
    </row>
    <row r="89">
      <c r="C89" s="7"/>
      <c r="Q89" s="2"/>
    </row>
    <row r="90">
      <c r="C90" s="7"/>
      <c r="Q90" s="2"/>
    </row>
    <row r="91">
      <c r="C91" s="7"/>
      <c r="Q91" s="2"/>
    </row>
    <row r="92">
      <c r="C92" s="7"/>
      <c r="Q92" s="2"/>
    </row>
    <row r="93">
      <c r="C93" s="7"/>
      <c r="Q93" s="2"/>
    </row>
    <row r="94">
      <c r="C94" s="7"/>
      <c r="Q94" s="2"/>
    </row>
    <row r="95">
      <c r="C95" s="7"/>
      <c r="Q95" s="2"/>
    </row>
    <row r="96">
      <c r="C96" s="7"/>
      <c r="Q96" s="2"/>
    </row>
    <row r="97">
      <c r="C97" s="7"/>
      <c r="Q97" s="2"/>
    </row>
    <row r="98">
      <c r="C98" s="7"/>
      <c r="Q98" s="2"/>
    </row>
    <row r="99">
      <c r="C99" s="7"/>
      <c r="Q99" s="2"/>
    </row>
    <row r="100">
      <c r="C100" s="7"/>
      <c r="Q100" s="2"/>
    </row>
    <row r="101">
      <c r="C101" s="7"/>
      <c r="Q101" s="2"/>
    </row>
    <row r="102">
      <c r="C102" s="7"/>
      <c r="Q102" s="2"/>
    </row>
    <row r="103">
      <c r="C103" s="7"/>
      <c r="Q103" s="2"/>
    </row>
    <row r="104">
      <c r="C104" s="7"/>
      <c r="Q104" s="2"/>
    </row>
    <row r="105">
      <c r="C105" s="7"/>
      <c r="Q105" s="2"/>
    </row>
    <row r="106">
      <c r="C106" s="7"/>
      <c r="Q106" s="2"/>
    </row>
    <row r="107">
      <c r="C107" s="7"/>
      <c r="Q107" s="2"/>
    </row>
    <row r="108">
      <c r="C108" s="7"/>
      <c r="Q108" s="2"/>
    </row>
    <row r="109">
      <c r="C109" s="7"/>
      <c r="Q109" s="2"/>
    </row>
    <row r="110">
      <c r="C110" s="7"/>
      <c r="Q110" s="2"/>
    </row>
    <row r="111">
      <c r="C111" s="7"/>
      <c r="Q111" s="2"/>
    </row>
    <row r="112">
      <c r="C112" s="7"/>
      <c r="Q112" s="2"/>
    </row>
    <row r="113">
      <c r="C113" s="7"/>
      <c r="Q113" s="2"/>
    </row>
    <row r="114">
      <c r="C114" s="7"/>
      <c r="Q114" s="2"/>
    </row>
    <row r="115">
      <c r="C115" s="7"/>
      <c r="Q115" s="2"/>
    </row>
    <row r="116">
      <c r="C116" s="7"/>
      <c r="Q116" s="2"/>
    </row>
    <row r="117">
      <c r="C117" s="7"/>
      <c r="Q117" s="2"/>
    </row>
    <row r="118">
      <c r="C118" s="7"/>
      <c r="Q118" s="2"/>
    </row>
    <row r="119">
      <c r="C119" s="7"/>
      <c r="Q119" s="2"/>
    </row>
    <row r="120">
      <c r="C120" s="7"/>
      <c r="Q120" s="2"/>
    </row>
    <row r="121">
      <c r="C121" s="7"/>
      <c r="Q121" s="2"/>
    </row>
    <row r="122">
      <c r="C122" s="7"/>
      <c r="Q122" s="2"/>
    </row>
    <row r="123">
      <c r="C123" s="7"/>
      <c r="Q123" s="2"/>
    </row>
    <row r="124">
      <c r="C124" s="7"/>
      <c r="Q124" s="2"/>
    </row>
    <row r="125">
      <c r="C125" s="7"/>
      <c r="Q125" s="2"/>
    </row>
    <row r="126">
      <c r="C126" s="7"/>
      <c r="Q126" s="2"/>
    </row>
    <row r="127">
      <c r="C127" s="7"/>
      <c r="Q127" s="2"/>
    </row>
    <row r="128">
      <c r="C128" s="7"/>
      <c r="Q128" s="2"/>
    </row>
    <row r="129">
      <c r="C129" s="7"/>
      <c r="Q129" s="2"/>
    </row>
    <row r="130">
      <c r="C130" s="7"/>
      <c r="Q130" s="2"/>
    </row>
    <row r="131">
      <c r="C131" s="7"/>
      <c r="Q131" s="2"/>
    </row>
    <row r="132">
      <c r="C132" s="7"/>
      <c r="Q132" s="2"/>
    </row>
    <row r="133">
      <c r="C133" s="7"/>
      <c r="Q133" s="2"/>
    </row>
    <row r="134">
      <c r="C134" s="7"/>
      <c r="Q134" s="2"/>
    </row>
    <row r="135">
      <c r="C135" s="7"/>
      <c r="Q135" s="2"/>
    </row>
    <row r="136">
      <c r="C136" s="7"/>
      <c r="Q136" s="2"/>
    </row>
    <row r="137">
      <c r="C137" s="7"/>
      <c r="Q137" s="2"/>
    </row>
    <row r="138">
      <c r="C138" s="7"/>
      <c r="Q138" s="2"/>
    </row>
    <row r="139">
      <c r="C139" s="7"/>
      <c r="Q139" s="2"/>
    </row>
    <row r="140">
      <c r="C140" s="7"/>
      <c r="Q140" s="2"/>
    </row>
    <row r="141">
      <c r="C141" s="7"/>
      <c r="Q141" s="2"/>
    </row>
    <row r="142">
      <c r="C142" s="7"/>
      <c r="Q142" s="2"/>
    </row>
    <row r="143">
      <c r="C143" s="7"/>
      <c r="Q143" s="2"/>
    </row>
    <row r="144">
      <c r="C144" s="7"/>
      <c r="Q144" s="2"/>
    </row>
    <row r="145">
      <c r="C145" s="7"/>
      <c r="Q145" s="2"/>
    </row>
    <row r="146">
      <c r="C146" s="7"/>
      <c r="Q146" s="2"/>
    </row>
    <row r="147">
      <c r="C147" s="7"/>
      <c r="Q147" s="2"/>
    </row>
    <row r="148">
      <c r="C148" s="7"/>
      <c r="Q148" s="2"/>
    </row>
    <row r="149">
      <c r="C149" s="7"/>
      <c r="Q149" s="2"/>
    </row>
    <row r="150">
      <c r="C150" s="7"/>
      <c r="Q150" s="2"/>
    </row>
    <row r="151">
      <c r="C151" s="7"/>
      <c r="Q151" s="2"/>
    </row>
    <row r="152">
      <c r="C152" s="7"/>
      <c r="Q152" s="2"/>
    </row>
    <row r="153">
      <c r="C153" s="7"/>
      <c r="Q153" s="2"/>
    </row>
    <row r="154">
      <c r="C154" s="7"/>
      <c r="Q154" s="2"/>
    </row>
    <row r="155">
      <c r="C155" s="7"/>
      <c r="Q155" s="2"/>
    </row>
    <row r="156">
      <c r="C156" s="7"/>
      <c r="Q156" s="2"/>
    </row>
    <row r="157">
      <c r="C157" s="7"/>
      <c r="Q157" s="2"/>
    </row>
    <row r="158">
      <c r="C158" s="7"/>
      <c r="Q158" s="2"/>
    </row>
    <row r="159">
      <c r="C159" s="7"/>
      <c r="Q159" s="2"/>
    </row>
    <row r="160">
      <c r="C160" s="7"/>
      <c r="Q160" s="2"/>
    </row>
    <row r="161">
      <c r="C161" s="7"/>
      <c r="Q161" s="2"/>
    </row>
    <row r="162">
      <c r="C162" s="7"/>
      <c r="Q162" s="2"/>
    </row>
    <row r="163">
      <c r="C163" s="7"/>
      <c r="Q163" s="2"/>
    </row>
    <row r="164">
      <c r="C164" s="7"/>
      <c r="Q164" s="2"/>
    </row>
    <row r="165">
      <c r="C165" s="7"/>
      <c r="Q165" s="2"/>
    </row>
    <row r="166">
      <c r="C166" s="7"/>
      <c r="Q166" s="2"/>
    </row>
    <row r="167">
      <c r="C167" s="7"/>
      <c r="Q167" s="2"/>
    </row>
    <row r="168">
      <c r="C168" s="7"/>
      <c r="Q168" s="2"/>
    </row>
    <row r="169">
      <c r="C169" s="7"/>
      <c r="Q169" s="2"/>
    </row>
    <row r="170">
      <c r="C170" s="7"/>
      <c r="Q170" s="2"/>
    </row>
    <row r="171">
      <c r="C171" s="7"/>
      <c r="Q171" s="2"/>
    </row>
    <row r="172">
      <c r="C172" s="7"/>
      <c r="Q172" s="2"/>
    </row>
    <row r="173">
      <c r="C173" s="7"/>
      <c r="Q173" s="2"/>
    </row>
    <row r="174">
      <c r="C174" s="7"/>
      <c r="Q174" s="2"/>
    </row>
    <row r="175">
      <c r="C175" s="7"/>
      <c r="Q175" s="2"/>
    </row>
    <row r="176">
      <c r="C176" s="7"/>
      <c r="Q176" s="2"/>
    </row>
    <row r="177">
      <c r="C177" s="7"/>
      <c r="Q177" s="2"/>
    </row>
    <row r="178">
      <c r="C178" s="7"/>
      <c r="Q178" s="2"/>
    </row>
    <row r="179">
      <c r="C179" s="7"/>
      <c r="Q179" s="2"/>
    </row>
    <row r="180">
      <c r="C180" s="7"/>
      <c r="Q180" s="2"/>
    </row>
    <row r="181">
      <c r="C181" s="7"/>
      <c r="Q181" s="2"/>
    </row>
    <row r="182">
      <c r="C182" s="7"/>
      <c r="Q182" s="2"/>
    </row>
    <row r="183">
      <c r="C183" s="7"/>
      <c r="Q183" s="2"/>
    </row>
    <row r="184">
      <c r="C184" s="7"/>
      <c r="Q184" s="2"/>
    </row>
    <row r="185">
      <c r="C185" s="7"/>
      <c r="Q185" s="2"/>
    </row>
    <row r="186">
      <c r="C186" s="7"/>
      <c r="Q186" s="2"/>
    </row>
    <row r="187">
      <c r="C187" s="7"/>
      <c r="Q187" s="2"/>
    </row>
    <row r="188">
      <c r="C188" s="7"/>
      <c r="Q188" s="2"/>
    </row>
    <row r="189">
      <c r="C189" s="7"/>
      <c r="Q189" s="2"/>
    </row>
    <row r="190">
      <c r="C190" s="7"/>
      <c r="Q190" s="2"/>
    </row>
    <row r="191">
      <c r="C191" s="7"/>
      <c r="Q191" s="2"/>
    </row>
    <row r="192">
      <c r="C192" s="7"/>
      <c r="Q192" s="2"/>
    </row>
    <row r="193">
      <c r="C193" s="7"/>
      <c r="Q193" s="2"/>
    </row>
    <row r="194">
      <c r="C194" s="7"/>
      <c r="Q194" s="2"/>
    </row>
    <row r="195">
      <c r="C195" s="7"/>
      <c r="Q195" s="2"/>
    </row>
    <row r="196">
      <c r="C196" s="7"/>
      <c r="Q196" s="2"/>
    </row>
    <row r="197">
      <c r="C197" s="7"/>
      <c r="Q197" s="2"/>
    </row>
    <row r="198">
      <c r="C198" s="7"/>
      <c r="Q198" s="2"/>
    </row>
    <row r="199">
      <c r="C199" s="7"/>
      <c r="Q199" s="2"/>
    </row>
    <row r="200">
      <c r="C200" s="7"/>
      <c r="Q200" s="2"/>
    </row>
    <row r="201">
      <c r="C201" s="7"/>
      <c r="Q201" s="2"/>
    </row>
    <row r="202">
      <c r="C202" s="7"/>
      <c r="Q202" s="2"/>
    </row>
    <row r="203">
      <c r="C203" s="7"/>
      <c r="Q203" s="2"/>
    </row>
    <row r="204">
      <c r="C204" s="7"/>
      <c r="Q204" s="2"/>
    </row>
    <row r="205">
      <c r="C205" s="7"/>
      <c r="Q205" s="2"/>
    </row>
    <row r="206">
      <c r="C206" s="7"/>
      <c r="Q206" s="2"/>
    </row>
    <row r="207">
      <c r="C207" s="7"/>
      <c r="Q207" s="2"/>
    </row>
    <row r="208">
      <c r="C208" s="7"/>
      <c r="Q208" s="2"/>
    </row>
    <row r="209">
      <c r="C209" s="7"/>
      <c r="Q209" s="2"/>
    </row>
    <row r="210">
      <c r="C210" s="7"/>
      <c r="Q210" s="2"/>
    </row>
    <row r="211">
      <c r="C211" s="7"/>
      <c r="Q211" s="2"/>
    </row>
    <row r="212">
      <c r="C212" s="7"/>
      <c r="Q212" s="2"/>
    </row>
    <row r="213">
      <c r="C213" s="7"/>
      <c r="Q213" s="2"/>
    </row>
    <row r="214">
      <c r="C214" s="7"/>
      <c r="Q214" s="2"/>
    </row>
    <row r="215">
      <c r="C215" s="7"/>
      <c r="Q215" s="2"/>
    </row>
    <row r="216">
      <c r="C216" s="7"/>
      <c r="Q216" s="2"/>
    </row>
    <row r="217">
      <c r="C217" s="7"/>
      <c r="Q217" s="2"/>
    </row>
    <row r="218">
      <c r="C218" s="7"/>
      <c r="Q218" s="2"/>
    </row>
    <row r="219">
      <c r="C219" s="7"/>
      <c r="Q219" s="2"/>
    </row>
    <row r="220">
      <c r="C220" s="7"/>
      <c r="Q220" s="2"/>
    </row>
    <row r="221">
      <c r="C221" s="7"/>
      <c r="Q221" s="2"/>
    </row>
    <row r="222">
      <c r="C222" s="7"/>
      <c r="Q222" s="2"/>
    </row>
    <row r="223">
      <c r="C223" s="7"/>
      <c r="Q223" s="2"/>
    </row>
    <row r="224">
      <c r="C224" s="7"/>
      <c r="Q224" s="2"/>
    </row>
    <row r="225">
      <c r="C225" s="7"/>
      <c r="Q225" s="2"/>
    </row>
    <row r="226">
      <c r="C226" s="7"/>
      <c r="Q226" s="2"/>
    </row>
    <row r="227">
      <c r="C227" s="7"/>
      <c r="Q227" s="2"/>
    </row>
    <row r="228">
      <c r="C228" s="7"/>
      <c r="Q228" s="2"/>
    </row>
    <row r="229">
      <c r="C229" s="7"/>
      <c r="Q229" s="2"/>
    </row>
    <row r="230">
      <c r="C230" s="7"/>
      <c r="Q230" s="2"/>
    </row>
    <row r="231">
      <c r="C231" s="7"/>
      <c r="Q231" s="2"/>
    </row>
    <row r="232">
      <c r="C232" s="7"/>
      <c r="Q232" s="2"/>
    </row>
    <row r="233">
      <c r="C233" s="7"/>
      <c r="Q233" s="2"/>
    </row>
    <row r="234">
      <c r="C234" s="7"/>
      <c r="Q234" s="2"/>
    </row>
    <row r="235">
      <c r="C235" s="7"/>
      <c r="Q235" s="2"/>
    </row>
    <row r="236">
      <c r="C236" s="7"/>
      <c r="Q236" s="2"/>
    </row>
    <row r="237">
      <c r="C237" s="7"/>
      <c r="Q237" s="2"/>
    </row>
    <row r="238">
      <c r="C238" s="7"/>
      <c r="Q238" s="2"/>
    </row>
    <row r="239">
      <c r="C239" s="7"/>
      <c r="Q239" s="2"/>
    </row>
    <row r="240">
      <c r="C240" s="7"/>
      <c r="Q240" s="2"/>
    </row>
    <row r="241">
      <c r="C241" s="7"/>
      <c r="Q241" s="2"/>
    </row>
    <row r="242">
      <c r="C242" s="7"/>
      <c r="Q242" s="2"/>
    </row>
    <row r="243">
      <c r="C243" s="7"/>
      <c r="Q243" s="2"/>
    </row>
    <row r="244">
      <c r="C244" s="7"/>
      <c r="Q244" s="2"/>
    </row>
    <row r="245">
      <c r="C245" s="7"/>
      <c r="Q245" s="2"/>
    </row>
    <row r="246">
      <c r="C246" s="7"/>
      <c r="Q246" s="2"/>
    </row>
    <row r="247">
      <c r="C247" s="7"/>
      <c r="Q247" s="2"/>
    </row>
    <row r="248">
      <c r="C248" s="7"/>
      <c r="Q248" s="2"/>
    </row>
    <row r="249">
      <c r="C249" s="7"/>
      <c r="Q249" s="2"/>
    </row>
    <row r="250">
      <c r="C250" s="7"/>
      <c r="Q250" s="2"/>
    </row>
    <row r="251">
      <c r="C251" s="7"/>
      <c r="Q251" s="2"/>
    </row>
    <row r="252">
      <c r="C252" s="7"/>
      <c r="Q252" s="2"/>
    </row>
    <row r="253">
      <c r="C253" s="7"/>
      <c r="Q253" s="2"/>
    </row>
    <row r="254">
      <c r="C254" s="7"/>
      <c r="Q254" s="2"/>
    </row>
    <row r="255">
      <c r="C255" s="7"/>
      <c r="Q255" s="2"/>
    </row>
    <row r="256">
      <c r="C256" s="7"/>
      <c r="Q256" s="2"/>
    </row>
    <row r="257">
      <c r="C257" s="7"/>
      <c r="Q257" s="2"/>
    </row>
    <row r="258">
      <c r="C258" s="7"/>
      <c r="Q258" s="2"/>
    </row>
    <row r="259">
      <c r="C259" s="7"/>
      <c r="Q259" s="2"/>
    </row>
    <row r="260">
      <c r="C260" s="7"/>
      <c r="Q260" s="2"/>
    </row>
    <row r="261">
      <c r="C261" s="7"/>
      <c r="Q261" s="2"/>
    </row>
    <row r="262">
      <c r="C262" s="7"/>
      <c r="Q262" s="2"/>
    </row>
    <row r="263">
      <c r="C263" s="7"/>
      <c r="Q263" s="2"/>
    </row>
    <row r="264">
      <c r="C264" s="7"/>
      <c r="Q264" s="2"/>
    </row>
    <row r="265">
      <c r="C265" s="7"/>
      <c r="Q265" s="2"/>
    </row>
    <row r="266">
      <c r="C266" s="7"/>
      <c r="Q266" s="2"/>
    </row>
    <row r="267">
      <c r="C267" s="7"/>
      <c r="Q267" s="2"/>
    </row>
    <row r="268">
      <c r="C268" s="7"/>
      <c r="Q268" s="2"/>
    </row>
    <row r="269">
      <c r="C269" s="7"/>
      <c r="Q269" s="2"/>
    </row>
    <row r="270">
      <c r="C270" s="7"/>
      <c r="Q270" s="2"/>
    </row>
    <row r="271">
      <c r="C271" s="7"/>
      <c r="Q271" s="2"/>
    </row>
    <row r="272">
      <c r="C272" s="7"/>
      <c r="Q272" s="2"/>
    </row>
    <row r="273">
      <c r="C273" s="7"/>
      <c r="Q273" s="2"/>
    </row>
    <row r="274">
      <c r="C274" s="7"/>
      <c r="Q274" s="2"/>
    </row>
    <row r="275">
      <c r="C275" s="7"/>
      <c r="Q275" s="2"/>
    </row>
    <row r="276">
      <c r="C276" s="7"/>
      <c r="Q276" s="2"/>
    </row>
    <row r="277">
      <c r="C277" s="7"/>
      <c r="Q277" s="2"/>
    </row>
    <row r="278">
      <c r="C278" s="7"/>
      <c r="Q278" s="2"/>
    </row>
    <row r="279">
      <c r="C279" s="7"/>
      <c r="Q279" s="2"/>
    </row>
    <row r="280">
      <c r="C280" s="7"/>
      <c r="Q280" s="2"/>
    </row>
    <row r="281">
      <c r="C281" s="7"/>
      <c r="Q281" s="2"/>
    </row>
    <row r="282">
      <c r="C282" s="7"/>
      <c r="Q282" s="2"/>
    </row>
    <row r="283">
      <c r="C283" s="7"/>
      <c r="Q283" s="2"/>
    </row>
    <row r="284">
      <c r="C284" s="7"/>
      <c r="Q284" s="2"/>
    </row>
    <row r="285">
      <c r="C285" s="7"/>
      <c r="Q285" s="2"/>
    </row>
    <row r="286">
      <c r="C286" s="7"/>
      <c r="Q286" s="2"/>
    </row>
    <row r="287">
      <c r="C287" s="7"/>
      <c r="Q287" s="2"/>
    </row>
    <row r="288">
      <c r="C288" s="7"/>
      <c r="Q288" s="2"/>
    </row>
    <row r="289">
      <c r="C289" s="7"/>
      <c r="Q289" s="2"/>
    </row>
    <row r="290">
      <c r="C290" s="7"/>
      <c r="Q290" s="2"/>
    </row>
    <row r="291">
      <c r="C291" s="7"/>
      <c r="Q291" s="2"/>
    </row>
    <row r="292">
      <c r="C292" s="7"/>
      <c r="Q292" s="2"/>
    </row>
    <row r="293">
      <c r="C293" s="7"/>
      <c r="Q293" s="2"/>
    </row>
    <row r="294">
      <c r="C294" s="7"/>
      <c r="Q294" s="2"/>
    </row>
    <row r="295">
      <c r="C295" s="7"/>
      <c r="Q295" s="2"/>
    </row>
    <row r="296">
      <c r="C296" s="7"/>
      <c r="Q296" s="2"/>
    </row>
    <row r="297">
      <c r="C297" s="7"/>
      <c r="Q297" s="2"/>
    </row>
    <row r="298">
      <c r="C298" s="7"/>
      <c r="Q298" s="2"/>
    </row>
    <row r="299">
      <c r="C299" s="7"/>
      <c r="Q299" s="2"/>
    </row>
    <row r="300">
      <c r="C300" s="7"/>
      <c r="Q300" s="2"/>
    </row>
    <row r="301">
      <c r="C301" s="7"/>
      <c r="Q301" s="2"/>
    </row>
    <row r="302">
      <c r="C302" s="7"/>
      <c r="Q302" s="2"/>
    </row>
    <row r="303">
      <c r="C303" s="7"/>
      <c r="Q303" s="2"/>
    </row>
    <row r="304">
      <c r="C304" s="7"/>
      <c r="Q304" s="2"/>
    </row>
    <row r="305">
      <c r="C305" s="7"/>
      <c r="Q305" s="2"/>
    </row>
    <row r="306">
      <c r="C306" s="7"/>
      <c r="Q306" s="2"/>
    </row>
    <row r="307">
      <c r="C307" s="7"/>
      <c r="Q307" s="2"/>
    </row>
    <row r="308">
      <c r="C308" s="7"/>
      <c r="Q308" s="2"/>
    </row>
    <row r="309">
      <c r="C309" s="7"/>
      <c r="Q309" s="2"/>
    </row>
    <row r="310">
      <c r="C310" s="7"/>
      <c r="Q310" s="2"/>
    </row>
    <row r="311">
      <c r="C311" s="7"/>
      <c r="Q311" s="2"/>
    </row>
    <row r="312">
      <c r="C312" s="7"/>
      <c r="Q312" s="2"/>
    </row>
    <row r="313">
      <c r="C313" s="7"/>
      <c r="Q313" s="2"/>
    </row>
    <row r="314">
      <c r="C314" s="7"/>
      <c r="Q314" s="2"/>
    </row>
    <row r="315">
      <c r="C315" s="7"/>
      <c r="Q315" s="2"/>
    </row>
    <row r="316">
      <c r="C316" s="7"/>
      <c r="Q316" s="2"/>
    </row>
    <row r="317">
      <c r="C317" s="7"/>
      <c r="Q317" s="2"/>
    </row>
    <row r="318">
      <c r="C318" s="7"/>
      <c r="Q318" s="2"/>
    </row>
    <row r="319">
      <c r="C319" s="7"/>
      <c r="Q319" s="2"/>
    </row>
    <row r="320">
      <c r="C320" s="7"/>
      <c r="Q320" s="2"/>
    </row>
    <row r="321">
      <c r="C321" s="7"/>
      <c r="Q321" s="2"/>
    </row>
    <row r="322">
      <c r="C322" s="7"/>
      <c r="Q322" s="2"/>
    </row>
    <row r="323">
      <c r="C323" s="7"/>
      <c r="Q323" s="2"/>
    </row>
    <row r="324">
      <c r="C324" s="7"/>
      <c r="Q324" s="2"/>
    </row>
    <row r="325">
      <c r="C325" s="7"/>
      <c r="Q325" s="2"/>
    </row>
    <row r="326">
      <c r="C326" s="7"/>
      <c r="Q326" s="2"/>
    </row>
    <row r="327">
      <c r="C327" s="7"/>
      <c r="Q327" s="2"/>
    </row>
    <row r="328">
      <c r="C328" s="7"/>
      <c r="Q328" s="2"/>
    </row>
    <row r="329">
      <c r="C329" s="7"/>
      <c r="Q329" s="2"/>
    </row>
    <row r="330">
      <c r="C330" s="7"/>
      <c r="Q330" s="2"/>
    </row>
    <row r="331">
      <c r="C331" s="7"/>
      <c r="Q331" s="2"/>
    </row>
    <row r="332">
      <c r="C332" s="7"/>
      <c r="Q332" s="2"/>
    </row>
    <row r="333">
      <c r="C333" s="7"/>
      <c r="Q333" s="2"/>
    </row>
    <row r="334">
      <c r="C334" s="7"/>
      <c r="Q334" s="2"/>
    </row>
    <row r="335">
      <c r="C335" s="7"/>
      <c r="Q335" s="2"/>
    </row>
    <row r="336">
      <c r="C336" s="7"/>
      <c r="Q336" s="2"/>
    </row>
    <row r="337">
      <c r="C337" s="7"/>
      <c r="Q337" s="2"/>
    </row>
    <row r="338">
      <c r="C338" s="7"/>
      <c r="Q338" s="2"/>
    </row>
    <row r="339">
      <c r="C339" s="7"/>
      <c r="Q339" s="2"/>
    </row>
    <row r="340">
      <c r="C340" s="7"/>
      <c r="Q340" s="2"/>
    </row>
    <row r="341">
      <c r="C341" s="7"/>
      <c r="Q341" s="2"/>
    </row>
    <row r="342">
      <c r="C342" s="7"/>
      <c r="Q342" s="2"/>
    </row>
    <row r="343">
      <c r="C343" s="7"/>
      <c r="Q343" s="2"/>
    </row>
    <row r="344">
      <c r="C344" s="7"/>
      <c r="Q344" s="2"/>
    </row>
    <row r="345">
      <c r="C345" s="7"/>
      <c r="Q345" s="2"/>
    </row>
    <row r="346">
      <c r="C346" s="7"/>
      <c r="Q346" s="2"/>
    </row>
    <row r="347">
      <c r="C347" s="7"/>
      <c r="Q347" s="2"/>
    </row>
    <row r="348">
      <c r="C348" s="7"/>
      <c r="Q348" s="2"/>
    </row>
    <row r="349">
      <c r="C349" s="7"/>
      <c r="Q349" s="2"/>
    </row>
    <row r="350">
      <c r="C350" s="7"/>
      <c r="Q350" s="2"/>
    </row>
    <row r="351">
      <c r="C351" s="7"/>
      <c r="Q351" s="2"/>
    </row>
    <row r="352">
      <c r="C352" s="7"/>
      <c r="Q352" s="2"/>
    </row>
    <row r="353">
      <c r="C353" s="7"/>
      <c r="Q353" s="2"/>
    </row>
    <row r="354">
      <c r="C354" s="7"/>
      <c r="Q354" s="2"/>
    </row>
    <row r="355">
      <c r="C355" s="7"/>
      <c r="Q355" s="2"/>
    </row>
    <row r="356">
      <c r="C356" s="7"/>
      <c r="Q356" s="2"/>
    </row>
    <row r="357">
      <c r="C357" s="7"/>
      <c r="Q357" s="2"/>
    </row>
    <row r="358">
      <c r="C358" s="7"/>
      <c r="Q358" s="2"/>
    </row>
    <row r="359">
      <c r="C359" s="7"/>
      <c r="Q359" s="2"/>
    </row>
    <row r="360">
      <c r="C360" s="7"/>
      <c r="Q360" s="2"/>
    </row>
    <row r="361">
      <c r="C361" s="7"/>
      <c r="Q361" s="2"/>
    </row>
    <row r="362">
      <c r="C362" s="7"/>
      <c r="Q362" s="2"/>
    </row>
    <row r="363">
      <c r="C363" s="7"/>
      <c r="Q363" s="2"/>
    </row>
    <row r="364">
      <c r="C364" s="7"/>
      <c r="Q364" s="2"/>
    </row>
    <row r="365">
      <c r="C365" s="7"/>
      <c r="Q365" s="2"/>
    </row>
    <row r="366">
      <c r="C366" s="7"/>
      <c r="Q366" s="2"/>
    </row>
    <row r="367">
      <c r="C367" s="7"/>
      <c r="Q367" s="2"/>
    </row>
    <row r="368">
      <c r="C368" s="7"/>
      <c r="Q368" s="2"/>
    </row>
    <row r="369">
      <c r="C369" s="7"/>
      <c r="Q369" s="2"/>
    </row>
    <row r="370">
      <c r="C370" s="7"/>
      <c r="Q370" s="2"/>
    </row>
    <row r="371">
      <c r="C371" s="7"/>
      <c r="Q371" s="2"/>
    </row>
    <row r="372">
      <c r="C372" s="7"/>
      <c r="Q372" s="2"/>
    </row>
    <row r="373">
      <c r="C373" s="7"/>
      <c r="Q373" s="2"/>
    </row>
    <row r="374">
      <c r="C374" s="7"/>
      <c r="Q374" s="2"/>
    </row>
    <row r="375">
      <c r="C375" s="7"/>
      <c r="Q375" s="2"/>
    </row>
    <row r="376">
      <c r="C376" s="7"/>
      <c r="Q376" s="2"/>
    </row>
    <row r="377">
      <c r="C377" s="7"/>
      <c r="Q377" s="2"/>
    </row>
    <row r="378">
      <c r="C378" s="7"/>
      <c r="Q378" s="2"/>
    </row>
    <row r="379">
      <c r="C379" s="7"/>
      <c r="Q379" s="2"/>
    </row>
    <row r="380">
      <c r="C380" s="7"/>
      <c r="Q380" s="2"/>
    </row>
    <row r="381">
      <c r="C381" s="7"/>
      <c r="Q381" s="2"/>
    </row>
    <row r="382">
      <c r="C382" s="7"/>
      <c r="Q382" s="2"/>
    </row>
    <row r="383">
      <c r="C383" s="7"/>
      <c r="Q383" s="2"/>
    </row>
    <row r="384">
      <c r="C384" s="7"/>
      <c r="Q384" s="2"/>
    </row>
    <row r="385">
      <c r="C385" s="7"/>
      <c r="Q385" s="2"/>
    </row>
    <row r="386">
      <c r="C386" s="7"/>
      <c r="Q386" s="2"/>
    </row>
    <row r="387">
      <c r="C387" s="7"/>
      <c r="Q387" s="2"/>
    </row>
    <row r="388">
      <c r="C388" s="7"/>
      <c r="Q388" s="2"/>
    </row>
    <row r="389">
      <c r="C389" s="7"/>
      <c r="Q389" s="2"/>
    </row>
    <row r="390">
      <c r="C390" s="7"/>
      <c r="Q390" s="2"/>
    </row>
    <row r="391">
      <c r="C391" s="7"/>
      <c r="Q391" s="2"/>
    </row>
    <row r="392">
      <c r="C392" s="7"/>
      <c r="Q392" s="2"/>
    </row>
    <row r="393">
      <c r="C393" s="7"/>
      <c r="Q393" s="2"/>
    </row>
    <row r="394">
      <c r="C394" s="7"/>
      <c r="Q394" s="2"/>
    </row>
    <row r="395">
      <c r="C395" s="7"/>
      <c r="Q395" s="2"/>
    </row>
    <row r="396">
      <c r="C396" s="7"/>
      <c r="Q396" s="2"/>
    </row>
    <row r="397">
      <c r="C397" s="7"/>
      <c r="Q397" s="2"/>
    </row>
    <row r="398">
      <c r="C398" s="7"/>
      <c r="Q398" s="2"/>
    </row>
    <row r="399">
      <c r="C399" s="7"/>
      <c r="Q399" s="2"/>
    </row>
    <row r="400">
      <c r="C400" s="7"/>
      <c r="Q400" s="2"/>
    </row>
    <row r="401">
      <c r="C401" s="7"/>
      <c r="Q401" s="2"/>
    </row>
    <row r="402">
      <c r="C402" s="7"/>
      <c r="Q402" s="2"/>
    </row>
    <row r="403">
      <c r="C403" s="7"/>
      <c r="Q403" s="2"/>
    </row>
    <row r="404">
      <c r="C404" s="7"/>
      <c r="Q404" s="2"/>
    </row>
    <row r="405">
      <c r="C405" s="7"/>
      <c r="Q405" s="2"/>
    </row>
    <row r="406">
      <c r="C406" s="7"/>
      <c r="Q406" s="2"/>
    </row>
    <row r="407">
      <c r="C407" s="7"/>
      <c r="Q407" s="2"/>
    </row>
    <row r="408">
      <c r="C408" s="7"/>
      <c r="Q408" s="2"/>
    </row>
    <row r="409">
      <c r="C409" s="7"/>
      <c r="Q409" s="2"/>
    </row>
    <row r="410">
      <c r="C410" s="7"/>
      <c r="Q410" s="2"/>
    </row>
    <row r="411">
      <c r="C411" s="7"/>
      <c r="Q411" s="2"/>
    </row>
    <row r="412">
      <c r="C412" s="7"/>
      <c r="Q412" s="2"/>
    </row>
    <row r="413">
      <c r="C413" s="7"/>
      <c r="Q413" s="2"/>
    </row>
    <row r="414">
      <c r="C414" s="7"/>
      <c r="Q414" s="2"/>
    </row>
    <row r="415">
      <c r="C415" s="7"/>
      <c r="Q415" s="2"/>
    </row>
    <row r="416">
      <c r="C416" s="7"/>
      <c r="Q416" s="2"/>
    </row>
    <row r="417">
      <c r="C417" s="7"/>
      <c r="Q417" s="2"/>
    </row>
    <row r="418">
      <c r="C418" s="7"/>
      <c r="Q418" s="2"/>
    </row>
    <row r="419">
      <c r="C419" s="7"/>
      <c r="Q419" s="2"/>
    </row>
    <row r="420">
      <c r="C420" s="7"/>
      <c r="Q420" s="2"/>
    </row>
    <row r="421">
      <c r="C421" s="7"/>
      <c r="Q421" s="2"/>
    </row>
    <row r="422">
      <c r="C422" s="7"/>
      <c r="Q422" s="2"/>
    </row>
    <row r="423">
      <c r="C423" s="7"/>
      <c r="Q423" s="2"/>
    </row>
    <row r="424">
      <c r="C424" s="7"/>
      <c r="Q424" s="2"/>
    </row>
    <row r="425">
      <c r="C425" s="7"/>
      <c r="Q425" s="2"/>
    </row>
    <row r="426">
      <c r="C426" s="7"/>
      <c r="Q426" s="2"/>
    </row>
    <row r="427">
      <c r="C427" s="7"/>
      <c r="Q427" s="2"/>
    </row>
    <row r="428">
      <c r="C428" s="7"/>
      <c r="Q428" s="2"/>
    </row>
    <row r="429">
      <c r="C429" s="7"/>
      <c r="Q429" s="2"/>
    </row>
    <row r="430">
      <c r="C430" s="7"/>
      <c r="Q430" s="2"/>
    </row>
    <row r="431">
      <c r="C431" s="7"/>
      <c r="Q431" s="2"/>
    </row>
    <row r="432">
      <c r="C432" s="7"/>
      <c r="Q432" s="2"/>
    </row>
    <row r="433">
      <c r="C433" s="7"/>
      <c r="Q433" s="2"/>
    </row>
    <row r="434">
      <c r="C434" s="7"/>
      <c r="Q434" s="2"/>
    </row>
    <row r="435">
      <c r="C435" s="7"/>
      <c r="Q435" s="2"/>
    </row>
    <row r="436">
      <c r="C436" s="7"/>
      <c r="Q436" s="2"/>
    </row>
    <row r="437">
      <c r="C437" s="7"/>
      <c r="Q437" s="2"/>
    </row>
    <row r="438">
      <c r="C438" s="7"/>
      <c r="Q438" s="2"/>
    </row>
    <row r="439">
      <c r="C439" s="7"/>
      <c r="Q439" s="2"/>
    </row>
    <row r="440">
      <c r="C440" s="7"/>
      <c r="Q440" s="2"/>
    </row>
    <row r="441">
      <c r="C441" s="7"/>
      <c r="Q441" s="2"/>
    </row>
    <row r="442">
      <c r="C442" s="7"/>
      <c r="Q442" s="2"/>
    </row>
    <row r="443">
      <c r="C443" s="7"/>
      <c r="Q443" s="2"/>
    </row>
    <row r="444">
      <c r="C444" s="7"/>
      <c r="Q444" s="2"/>
    </row>
    <row r="445">
      <c r="C445" s="7"/>
      <c r="Q445" s="2"/>
    </row>
    <row r="446">
      <c r="C446" s="7"/>
      <c r="Q446" s="2"/>
    </row>
    <row r="447">
      <c r="C447" s="7"/>
      <c r="Q447" s="2"/>
    </row>
    <row r="448">
      <c r="C448" s="7"/>
      <c r="Q448" s="2"/>
    </row>
    <row r="449">
      <c r="C449" s="7"/>
      <c r="Q449" s="2"/>
    </row>
    <row r="450">
      <c r="C450" s="7"/>
      <c r="Q450" s="2"/>
    </row>
    <row r="451">
      <c r="C451" s="7"/>
      <c r="Q451" s="2"/>
    </row>
    <row r="452">
      <c r="C452" s="7"/>
      <c r="Q452" s="2"/>
    </row>
    <row r="453">
      <c r="C453" s="7"/>
      <c r="Q453" s="2"/>
    </row>
    <row r="454">
      <c r="C454" s="7"/>
      <c r="Q454" s="2"/>
    </row>
    <row r="455">
      <c r="C455" s="7"/>
      <c r="Q455" s="2"/>
    </row>
    <row r="456">
      <c r="C456" s="7"/>
      <c r="Q456" s="2"/>
    </row>
    <row r="457">
      <c r="C457" s="7"/>
      <c r="Q457" s="2"/>
    </row>
    <row r="458">
      <c r="C458" s="7"/>
      <c r="Q458" s="2"/>
    </row>
    <row r="459">
      <c r="C459" s="7"/>
      <c r="Q459" s="2"/>
    </row>
    <row r="460">
      <c r="C460" s="7"/>
      <c r="Q460" s="2"/>
    </row>
    <row r="461">
      <c r="C461" s="7"/>
      <c r="Q461" s="2"/>
    </row>
    <row r="462">
      <c r="C462" s="7"/>
      <c r="Q462" s="2"/>
    </row>
    <row r="463">
      <c r="C463" s="7"/>
      <c r="Q463" s="2"/>
    </row>
    <row r="464">
      <c r="C464" s="7"/>
      <c r="Q464" s="2"/>
    </row>
    <row r="465">
      <c r="C465" s="7"/>
      <c r="Q465" s="2"/>
    </row>
    <row r="466">
      <c r="C466" s="7"/>
      <c r="Q466" s="2"/>
    </row>
    <row r="467">
      <c r="C467" s="7"/>
      <c r="Q467" s="2"/>
    </row>
    <row r="468">
      <c r="C468" s="7"/>
      <c r="Q468" s="2"/>
    </row>
    <row r="469">
      <c r="C469" s="7"/>
      <c r="Q469" s="2"/>
    </row>
    <row r="470">
      <c r="C470" s="7"/>
      <c r="Q470" s="2"/>
    </row>
    <row r="471">
      <c r="C471" s="7"/>
      <c r="Q471" s="2"/>
    </row>
    <row r="472">
      <c r="C472" s="7"/>
      <c r="Q472" s="2"/>
    </row>
    <row r="473">
      <c r="C473" s="7"/>
      <c r="Q473" s="2"/>
    </row>
    <row r="474">
      <c r="C474" s="7"/>
      <c r="Q474" s="2"/>
    </row>
    <row r="475">
      <c r="C475" s="7"/>
      <c r="Q475" s="2"/>
    </row>
    <row r="476">
      <c r="C476" s="7"/>
      <c r="Q476" s="2"/>
    </row>
    <row r="477">
      <c r="C477" s="7"/>
      <c r="Q477" s="2"/>
    </row>
    <row r="478">
      <c r="C478" s="7"/>
      <c r="Q478" s="2"/>
    </row>
    <row r="479">
      <c r="C479" s="7"/>
      <c r="Q479" s="2"/>
    </row>
    <row r="480">
      <c r="C480" s="7"/>
      <c r="Q480" s="2"/>
    </row>
    <row r="481">
      <c r="C481" s="7"/>
      <c r="Q481" s="2"/>
    </row>
    <row r="482">
      <c r="C482" s="7"/>
      <c r="Q482" s="2"/>
    </row>
    <row r="483">
      <c r="C483" s="7"/>
      <c r="Q483" s="2"/>
    </row>
    <row r="484">
      <c r="C484" s="7"/>
      <c r="Q484" s="2"/>
    </row>
    <row r="485">
      <c r="C485" s="7"/>
      <c r="Q485" s="2"/>
    </row>
    <row r="486">
      <c r="C486" s="7"/>
      <c r="Q486" s="2"/>
    </row>
    <row r="487">
      <c r="C487" s="7"/>
      <c r="Q487" s="2"/>
    </row>
    <row r="488">
      <c r="C488" s="7"/>
      <c r="Q488" s="2"/>
    </row>
    <row r="489">
      <c r="C489" s="7"/>
      <c r="Q489" s="2"/>
    </row>
    <row r="490">
      <c r="C490" s="7"/>
      <c r="Q490" s="2"/>
    </row>
    <row r="491">
      <c r="C491" s="7"/>
      <c r="Q491" s="2"/>
    </row>
    <row r="492">
      <c r="C492" s="7"/>
      <c r="Q492" s="2"/>
    </row>
    <row r="493">
      <c r="C493" s="7"/>
      <c r="Q493" s="2"/>
    </row>
    <row r="494">
      <c r="C494" s="7"/>
      <c r="Q494" s="2"/>
    </row>
    <row r="495">
      <c r="C495" s="7"/>
      <c r="Q495" s="2"/>
    </row>
    <row r="496">
      <c r="C496" s="7"/>
      <c r="Q496" s="2"/>
    </row>
    <row r="497">
      <c r="C497" s="7"/>
      <c r="Q497" s="2"/>
    </row>
    <row r="498">
      <c r="C498" s="7"/>
      <c r="Q498" s="2"/>
    </row>
    <row r="499">
      <c r="C499" s="7"/>
      <c r="Q499" s="2"/>
    </row>
    <row r="500">
      <c r="C500" s="7"/>
      <c r="Q500" s="2"/>
    </row>
    <row r="501">
      <c r="C501" s="7"/>
      <c r="Q501" s="2"/>
    </row>
    <row r="502">
      <c r="C502" s="7"/>
      <c r="Q502" s="2"/>
    </row>
    <row r="503">
      <c r="C503" s="7"/>
      <c r="Q503" s="2"/>
    </row>
    <row r="504">
      <c r="C504" s="7"/>
      <c r="Q504" s="2"/>
    </row>
    <row r="505">
      <c r="C505" s="7"/>
      <c r="Q505" s="2"/>
    </row>
    <row r="506">
      <c r="C506" s="7"/>
      <c r="Q506" s="2"/>
    </row>
    <row r="507">
      <c r="C507" s="7"/>
      <c r="Q507" s="2"/>
    </row>
    <row r="508">
      <c r="C508" s="7"/>
      <c r="Q508" s="2"/>
    </row>
    <row r="509">
      <c r="C509" s="7"/>
      <c r="Q509" s="2"/>
    </row>
    <row r="510">
      <c r="C510" s="7"/>
      <c r="Q510" s="2"/>
    </row>
    <row r="511">
      <c r="C511" s="7"/>
      <c r="Q511" s="2"/>
    </row>
    <row r="512">
      <c r="C512" s="7"/>
      <c r="Q512" s="2"/>
    </row>
    <row r="513">
      <c r="C513" s="7"/>
      <c r="Q513" s="2"/>
    </row>
    <row r="514">
      <c r="C514" s="7"/>
      <c r="Q514" s="2"/>
    </row>
    <row r="515">
      <c r="C515" s="7"/>
      <c r="Q515" s="2"/>
    </row>
    <row r="516">
      <c r="C516" s="7"/>
      <c r="Q516" s="2"/>
    </row>
    <row r="517">
      <c r="C517" s="7"/>
      <c r="Q517" s="2"/>
    </row>
    <row r="518">
      <c r="C518" s="7"/>
      <c r="Q518" s="2"/>
    </row>
    <row r="519">
      <c r="C519" s="7"/>
      <c r="Q519" s="2"/>
    </row>
    <row r="520">
      <c r="C520" s="7"/>
      <c r="Q520" s="2"/>
    </row>
    <row r="521">
      <c r="C521" s="7"/>
      <c r="Q521" s="2"/>
    </row>
    <row r="522">
      <c r="C522" s="7"/>
      <c r="Q522" s="2"/>
    </row>
    <row r="523">
      <c r="C523" s="7"/>
      <c r="Q523" s="2"/>
    </row>
    <row r="524">
      <c r="C524" s="7"/>
      <c r="Q524" s="2"/>
    </row>
    <row r="525">
      <c r="C525" s="7"/>
      <c r="Q525" s="2"/>
    </row>
    <row r="526">
      <c r="C526" s="7"/>
      <c r="Q526" s="2"/>
    </row>
    <row r="527">
      <c r="C527" s="7"/>
      <c r="Q527" s="2"/>
    </row>
    <row r="528">
      <c r="C528" s="7"/>
      <c r="Q528" s="2"/>
    </row>
    <row r="529">
      <c r="C529" s="7"/>
      <c r="Q529" s="2"/>
    </row>
    <row r="530">
      <c r="C530" s="7"/>
      <c r="Q530" s="2"/>
    </row>
    <row r="531">
      <c r="C531" s="7"/>
      <c r="Q531" s="2"/>
    </row>
    <row r="532">
      <c r="C532" s="7"/>
      <c r="Q532" s="2"/>
    </row>
    <row r="533">
      <c r="C533" s="7"/>
      <c r="Q533" s="2"/>
    </row>
    <row r="534">
      <c r="C534" s="7"/>
      <c r="Q534" s="2"/>
    </row>
    <row r="535">
      <c r="C535" s="7"/>
      <c r="Q535" s="2"/>
    </row>
    <row r="536">
      <c r="C536" s="7"/>
      <c r="Q536" s="2"/>
    </row>
    <row r="537">
      <c r="C537" s="7"/>
      <c r="Q537" s="2"/>
    </row>
    <row r="538">
      <c r="C538" s="7"/>
      <c r="Q538" s="2"/>
    </row>
    <row r="539">
      <c r="C539" s="7"/>
      <c r="Q539" s="2"/>
    </row>
    <row r="540">
      <c r="C540" s="7"/>
      <c r="Q540" s="2"/>
    </row>
    <row r="541">
      <c r="C541" s="7"/>
      <c r="Q541" s="2"/>
    </row>
    <row r="542">
      <c r="C542" s="7"/>
      <c r="Q542" s="2"/>
    </row>
    <row r="543">
      <c r="C543" s="7"/>
      <c r="Q543" s="2"/>
    </row>
    <row r="544">
      <c r="C544" s="7"/>
      <c r="Q544" s="2"/>
    </row>
    <row r="545">
      <c r="C545" s="7"/>
      <c r="Q545" s="2"/>
    </row>
    <row r="546">
      <c r="C546" s="7"/>
      <c r="Q546" s="2"/>
    </row>
    <row r="547">
      <c r="C547" s="7"/>
      <c r="Q547" s="2"/>
    </row>
    <row r="548">
      <c r="C548" s="7"/>
      <c r="Q548" s="2"/>
    </row>
    <row r="549">
      <c r="C549" s="7"/>
      <c r="Q549" s="2"/>
    </row>
    <row r="550">
      <c r="C550" s="7"/>
      <c r="Q550" s="2"/>
    </row>
    <row r="551">
      <c r="C551" s="7"/>
      <c r="Q551" s="2"/>
    </row>
    <row r="552">
      <c r="C552" s="7"/>
      <c r="Q552" s="2"/>
    </row>
    <row r="553">
      <c r="C553" s="7"/>
      <c r="Q553" s="2"/>
    </row>
    <row r="554">
      <c r="C554" s="7"/>
      <c r="Q554" s="2"/>
    </row>
    <row r="555">
      <c r="C555" s="7"/>
      <c r="Q555" s="2"/>
    </row>
    <row r="556">
      <c r="C556" s="7"/>
      <c r="Q556" s="2"/>
    </row>
    <row r="557">
      <c r="C557" s="7"/>
      <c r="Q557" s="2"/>
    </row>
    <row r="558">
      <c r="C558" s="7"/>
      <c r="Q558" s="2"/>
    </row>
    <row r="559">
      <c r="C559" s="7"/>
      <c r="Q559" s="2"/>
    </row>
    <row r="560">
      <c r="C560" s="7"/>
      <c r="Q560" s="2"/>
    </row>
    <row r="561">
      <c r="C561" s="7"/>
      <c r="Q561" s="2"/>
    </row>
    <row r="562">
      <c r="C562" s="7"/>
      <c r="Q562" s="2"/>
    </row>
    <row r="563">
      <c r="C563" s="7"/>
      <c r="Q563" s="2"/>
    </row>
    <row r="564">
      <c r="C564" s="7"/>
      <c r="Q564" s="2"/>
    </row>
    <row r="565">
      <c r="C565" s="7"/>
      <c r="Q565" s="2"/>
    </row>
    <row r="566">
      <c r="C566" s="7"/>
      <c r="Q566" s="2"/>
    </row>
    <row r="567">
      <c r="C567" s="7"/>
      <c r="Q567" s="2"/>
    </row>
    <row r="568">
      <c r="C568" s="7"/>
      <c r="Q568" s="2"/>
    </row>
    <row r="569">
      <c r="C569" s="7"/>
      <c r="Q569" s="2"/>
    </row>
    <row r="570">
      <c r="C570" s="7"/>
      <c r="Q570" s="2"/>
    </row>
    <row r="571">
      <c r="C571" s="7"/>
      <c r="Q571" s="2"/>
    </row>
    <row r="572">
      <c r="C572" s="7"/>
      <c r="Q572" s="2"/>
    </row>
    <row r="573">
      <c r="C573" s="7"/>
      <c r="Q573" s="2"/>
    </row>
    <row r="574">
      <c r="C574" s="7"/>
      <c r="Q574" s="2"/>
    </row>
    <row r="575">
      <c r="C575" s="7"/>
      <c r="Q575" s="2"/>
    </row>
    <row r="576">
      <c r="C576" s="7"/>
      <c r="Q576" s="2"/>
    </row>
    <row r="577">
      <c r="C577" s="7"/>
      <c r="Q577" s="2"/>
    </row>
    <row r="578">
      <c r="C578" s="7"/>
      <c r="Q578" s="2"/>
    </row>
    <row r="579">
      <c r="C579" s="7"/>
      <c r="Q579" s="2"/>
    </row>
    <row r="580">
      <c r="C580" s="7"/>
      <c r="Q580" s="2"/>
    </row>
    <row r="581">
      <c r="C581" s="7"/>
      <c r="Q581" s="2"/>
    </row>
    <row r="582">
      <c r="C582" s="7"/>
      <c r="Q582" s="2"/>
    </row>
    <row r="583">
      <c r="C583" s="7"/>
      <c r="Q583" s="2"/>
    </row>
    <row r="584">
      <c r="C584" s="7"/>
      <c r="Q584" s="2"/>
    </row>
    <row r="585">
      <c r="C585" s="7"/>
      <c r="Q585" s="2"/>
    </row>
    <row r="586">
      <c r="C586" s="7"/>
      <c r="Q586" s="2"/>
    </row>
    <row r="587">
      <c r="C587" s="7"/>
      <c r="Q587" s="2"/>
    </row>
    <row r="588">
      <c r="C588" s="7"/>
      <c r="Q588" s="2"/>
    </row>
    <row r="589">
      <c r="C589" s="7"/>
      <c r="Q589" s="2"/>
    </row>
    <row r="590">
      <c r="C590" s="7"/>
      <c r="Q590" s="2"/>
    </row>
    <row r="591">
      <c r="C591" s="7"/>
      <c r="Q591" s="2"/>
    </row>
    <row r="592">
      <c r="C592" s="7"/>
      <c r="Q592" s="2"/>
    </row>
    <row r="593">
      <c r="C593" s="7"/>
      <c r="Q593" s="2"/>
    </row>
    <row r="594">
      <c r="C594" s="7"/>
      <c r="Q594" s="2"/>
    </row>
    <row r="595">
      <c r="C595" s="7"/>
      <c r="Q595" s="2"/>
    </row>
    <row r="596">
      <c r="C596" s="7"/>
      <c r="Q596" s="2"/>
    </row>
    <row r="597">
      <c r="C597" s="7"/>
      <c r="Q597" s="2"/>
    </row>
    <row r="598">
      <c r="C598" s="7"/>
      <c r="Q598" s="2"/>
    </row>
    <row r="599">
      <c r="C599" s="7"/>
      <c r="Q599" s="2"/>
    </row>
    <row r="600">
      <c r="C600" s="7"/>
      <c r="Q600" s="2"/>
    </row>
    <row r="601">
      <c r="C601" s="7"/>
      <c r="Q601" s="2"/>
    </row>
    <row r="602">
      <c r="C602" s="7"/>
      <c r="Q602" s="2"/>
    </row>
    <row r="603">
      <c r="C603" s="7"/>
      <c r="Q603" s="2"/>
    </row>
    <row r="604">
      <c r="C604" s="7"/>
      <c r="Q604" s="2"/>
    </row>
    <row r="605">
      <c r="C605" s="7"/>
      <c r="Q605" s="2"/>
    </row>
    <row r="606">
      <c r="C606" s="7"/>
      <c r="Q606" s="2"/>
    </row>
    <row r="607">
      <c r="C607" s="7"/>
      <c r="Q607" s="2"/>
    </row>
    <row r="608">
      <c r="C608" s="7"/>
      <c r="Q608" s="2"/>
    </row>
    <row r="609">
      <c r="C609" s="7"/>
      <c r="Q609" s="2"/>
    </row>
    <row r="610">
      <c r="C610" s="7"/>
      <c r="Q610" s="2"/>
    </row>
    <row r="611">
      <c r="C611" s="7"/>
      <c r="Q611" s="2"/>
    </row>
    <row r="612">
      <c r="C612" s="7"/>
      <c r="Q612" s="2"/>
    </row>
    <row r="613">
      <c r="C613" s="7"/>
      <c r="Q613" s="2"/>
    </row>
    <row r="614">
      <c r="C614" s="7"/>
      <c r="Q614" s="2"/>
    </row>
    <row r="615">
      <c r="C615" s="7"/>
      <c r="Q615" s="2"/>
    </row>
    <row r="616">
      <c r="C616" s="7"/>
      <c r="Q616" s="2"/>
    </row>
    <row r="617">
      <c r="C617" s="7"/>
      <c r="Q617" s="2"/>
    </row>
    <row r="618">
      <c r="C618" s="7"/>
      <c r="Q618" s="2"/>
    </row>
    <row r="619">
      <c r="C619" s="7"/>
      <c r="Q619" s="2"/>
    </row>
    <row r="620">
      <c r="C620" s="7"/>
      <c r="Q620" s="2"/>
    </row>
    <row r="621">
      <c r="C621" s="7"/>
      <c r="Q621" s="2"/>
    </row>
    <row r="622">
      <c r="C622" s="7"/>
      <c r="Q622" s="2"/>
    </row>
    <row r="623">
      <c r="C623" s="7"/>
      <c r="Q623" s="2"/>
    </row>
    <row r="624">
      <c r="C624" s="7"/>
      <c r="Q624" s="2"/>
    </row>
    <row r="625">
      <c r="C625" s="7"/>
      <c r="Q625" s="2"/>
    </row>
    <row r="626">
      <c r="C626" s="7"/>
      <c r="Q626" s="2"/>
    </row>
    <row r="627">
      <c r="C627" s="7"/>
      <c r="Q627" s="2"/>
    </row>
    <row r="628">
      <c r="C628" s="7"/>
      <c r="Q628" s="2"/>
    </row>
  </sheetData>
  <mergeCells count="1">
    <mergeCell ref="A1:P1"/>
  </mergeCells>
  <hyperlinks>
    <hyperlink r:id="rId1" ref="M5"/>
    <hyperlink r:id="rId2" ref="N5"/>
    <hyperlink r:id="rId3" ref="O5"/>
    <hyperlink r:id="rId4" ref="M6"/>
    <hyperlink r:id="rId5" ref="N6"/>
    <hyperlink r:id="rId6" ref="O6"/>
    <hyperlink r:id="rId7" ref="M7"/>
    <hyperlink r:id="rId8" ref="N7"/>
    <hyperlink r:id="rId9" ref="O7"/>
    <hyperlink r:id="rId10" ref="M9"/>
    <hyperlink r:id="rId11" ref="N9"/>
    <hyperlink r:id="rId12" ref="O9"/>
    <hyperlink r:id="rId13" ref="M10"/>
    <hyperlink r:id="rId14" ref="N10"/>
    <hyperlink r:id="rId15" ref="O10"/>
    <hyperlink r:id="rId16" ref="M12"/>
    <hyperlink r:id="rId17" ref="N12"/>
    <hyperlink r:id="rId18" ref="O12"/>
    <hyperlink r:id="rId19" ref="M13"/>
    <hyperlink r:id="rId20" ref="N13"/>
    <hyperlink r:id="rId21" ref="O13"/>
    <hyperlink r:id="rId22" ref="M15"/>
    <hyperlink r:id="rId23" ref="N15"/>
    <hyperlink r:id="rId24" ref="O15"/>
    <hyperlink r:id="rId25" ref="M17"/>
    <hyperlink r:id="rId26" ref="N17"/>
    <hyperlink r:id="rId27" ref="O17"/>
    <hyperlink r:id="rId28" ref="M18"/>
    <hyperlink r:id="rId29" ref="M19"/>
    <hyperlink r:id="rId30" ref="N19"/>
    <hyperlink r:id="rId31" ref="O19"/>
    <hyperlink r:id="rId32" ref="M23"/>
    <hyperlink r:id="rId33" ref="N23"/>
    <hyperlink r:id="rId34" ref="O23"/>
    <hyperlink r:id="rId35" ref="M24"/>
    <hyperlink r:id="rId36" ref="N24"/>
    <hyperlink r:id="rId37" ref="O24"/>
    <hyperlink r:id="rId38" ref="M25"/>
    <hyperlink r:id="rId39" ref="N25"/>
    <hyperlink r:id="rId40" ref="O25"/>
    <hyperlink r:id="rId41" ref="M26"/>
    <hyperlink r:id="rId42" ref="N26"/>
    <hyperlink r:id="rId43" ref="O26"/>
    <hyperlink r:id="rId44" ref="M27"/>
    <hyperlink r:id="rId45" ref="N27"/>
    <hyperlink r:id="rId46" ref="O27"/>
    <hyperlink r:id="rId47" ref="M29"/>
    <hyperlink r:id="rId48" ref="N29"/>
    <hyperlink r:id="rId49" ref="O29"/>
    <hyperlink r:id="rId50" ref="M30"/>
    <hyperlink r:id="rId51" ref="N30"/>
    <hyperlink r:id="rId52" ref="O30"/>
    <hyperlink r:id="rId53" ref="M31"/>
    <hyperlink r:id="rId54" ref="N31"/>
    <hyperlink r:id="rId55" ref="O31"/>
    <hyperlink r:id="rId56" ref="M32"/>
    <hyperlink r:id="rId57" ref="N32"/>
    <hyperlink r:id="rId58" ref="O32"/>
    <hyperlink r:id="rId59" ref="M33"/>
    <hyperlink r:id="rId60" ref="N33"/>
    <hyperlink r:id="rId61" ref="M34"/>
    <hyperlink r:id="rId62" ref="N34"/>
    <hyperlink r:id="rId63" ref="O34"/>
    <hyperlink r:id="rId64" ref="M35"/>
    <hyperlink r:id="rId65" ref="N35"/>
    <hyperlink r:id="rId66" ref="O35"/>
    <hyperlink r:id="rId67" ref="M36"/>
    <hyperlink r:id="rId68" ref="N36"/>
    <hyperlink r:id="rId69" ref="M38"/>
    <hyperlink r:id="rId70" ref="N38"/>
    <hyperlink r:id="rId71" ref="O38"/>
    <hyperlink r:id="rId72" ref="M39"/>
    <hyperlink r:id="rId73" ref="N39"/>
    <hyperlink r:id="rId74" ref="O39"/>
    <hyperlink r:id="rId75" ref="M40"/>
    <hyperlink r:id="rId76" ref="N40"/>
    <hyperlink r:id="rId77" ref="O40"/>
    <hyperlink r:id="rId78" ref="M41"/>
    <hyperlink r:id="rId79" ref="N41"/>
    <hyperlink r:id="rId80" ref="O41"/>
    <hyperlink r:id="rId81" ref="M42"/>
    <hyperlink r:id="rId82" ref="N42"/>
    <hyperlink r:id="rId83" ref="O42"/>
    <hyperlink r:id="rId84" ref="M43"/>
    <hyperlink r:id="rId85" ref="N43"/>
    <hyperlink r:id="rId86" ref="O43"/>
    <hyperlink r:id="rId87" ref="M44"/>
    <hyperlink r:id="rId88" ref="N4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9"/>
</worksheet>
</file>